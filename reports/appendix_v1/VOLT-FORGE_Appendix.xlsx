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uild cost" sheetId="2" state="visible" r:id="rId4"/>
    <sheet name="Market" sheetId="3" state="visible" r:id="rId5"/>
    <sheet name="Parts" sheetId="4" state="visible" r:id="rId6"/>
    <sheet name="Design study" sheetId="5" state="visible" r:id="rId7"/>
    <sheet name="Evidence" sheetId="6" state="visible" r:id="rId8"/>
    <sheet name="Limits and sourc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<sst xmlns="http://schemas.openxmlformats.org/spreadsheetml/2006/main" count="468" uniqueCount="350">
  <si>
    <t xml:space="preserve">VOLT-FORGE appendix</t>
  </si>
  <si>
    <t xml:space="preserve">The numbers behind the Round 1 slide. Tata Elxsi Teliport Season 4, Case Study 2. Results are simulated; nothing has been built.</t>
  </si>
  <si>
    <t xml:space="preserve">Headlines</t>
  </si>
  <si>
    <t xml:space="preserve">Number</t>
  </si>
  <si>
    <t xml:space="preserve">Value</t>
  </si>
  <si>
    <t xml:space="preserve">What it means</t>
  </si>
  <si>
    <t xml:space="preserve">Smallest design that qualifies, cells</t>
  </si>
  <si>
    <t xml:space="preserve">Two LG M50T cells with the far-cell output, among the parallel layouts tested</t>
  </si>
  <si>
    <t xml:space="preserve">Required Pi tests passed</t>
  </si>
  <si>
    <t xml:space="preserve">Out of 33: normal, weak cell in each position, low cooling and more</t>
  </si>
  <si>
    <t xml:space="preserve">Worst cell current, A</t>
  </si>
  <si>
    <t xml:space="preserve">Against a 7.275 A limit</t>
  </si>
  <si>
    <t xml:space="preserve">Cell cost for 2 cells, ₹</t>
  </si>
  <si>
    <t xml:space="preserve">Half the ₹4,824 of the four-cell start. Cells only</t>
  </si>
  <si>
    <t xml:space="preserve">Simulated cases</t>
  </si>
  <si>
    <t xml:space="preserve">Frozen plan, run once, every result kept</t>
  </si>
  <si>
    <t xml:space="preserve">Measured cases inside both bands</t>
  </si>
  <si>
    <t xml:space="preserve">Out of 12. The model was not tuned to close this gap</t>
  </si>
  <si>
    <t xml:space="preserve">Cost to build the full product, ₹ crore</t>
  </si>
  <si>
    <t xml:space="preserve">Three years, from own lab data to a full engineering app</t>
  </si>
  <si>
    <t xml:space="preserve">Person-years</t>
  </si>
  <si>
    <t xml:space="preserve">About 34 people on average</t>
  </si>
  <si>
    <t xml:space="preserve">Share of one AspenTech R&amp;D year</t>
  </si>
  <si>
    <t xml:space="preserve">Scale check against an established engineering software company</t>
  </si>
  <si>
    <t xml:space="preserve">TAM, students (lakh)</t>
  </si>
  <si>
    <t xml:space="preserve">All engineering and technology students in India</t>
  </si>
  <si>
    <t xml:space="preserve">SAM, students (lakh)</t>
  </si>
  <si>
    <t xml:space="preserve">Electrical, electronics and mechanical</t>
  </si>
  <si>
    <t xml:space="preserve">SOM, colleges</t>
  </si>
  <si>
    <t xml:space="preserve">Assumed 5% of engineering colleges</t>
  </si>
  <si>
    <t xml:space="preserve">Tabs</t>
  </si>
  <si>
    <t xml:space="preserve">Build cost</t>
  </si>
  <si>
    <t xml:space="preserve">Every workstream, salary, lab item and running cost, plus two cross-checks</t>
  </si>
  <si>
    <t xml:space="preserve">Market</t>
  </si>
  <si>
    <t xml:space="preserve">TAM, SAM, SOM and how long licences alone take to repay the build</t>
  </si>
  <si>
    <t xml:space="preserve">Parts</t>
  </si>
  <si>
    <t xml:space="preserve">Listings and cost at each cell count</t>
  </si>
  <si>
    <t xml:space="preserve">Design study</t>
  </si>
  <si>
    <t xml:space="preserve">All 13 designs and what argues against the answer</t>
  </si>
  <si>
    <t xml:space="preserve">Evidence</t>
  </si>
  <si>
    <t xml:space="preserve">Software checks and the comparison with real measurements</t>
  </si>
  <si>
    <t xml:space="preserve">Limits and sources</t>
  </si>
  <si>
    <t xml:space="preserve">What is untested, and where each number came from</t>
  </si>
  <si>
    <t xml:space="preserve">Colour key</t>
  </si>
  <si>
    <t xml:space="preserve">Blue text</t>
  </si>
  <si>
    <t xml:space="preserve">An input you can change</t>
  </si>
  <si>
    <t xml:space="preserve">Black text</t>
  </si>
  <si>
    <t xml:space="preserve">A formula or a recorded result</t>
  </si>
  <si>
    <t xml:space="preserve">Green text</t>
  </si>
  <si>
    <t xml:space="preserve">Pulled from another tab</t>
  </si>
  <si>
    <t xml:space="preserve">Yellow fill</t>
  </si>
  <si>
    <t xml:space="preserve">Our assumption, not a sourced number</t>
  </si>
  <si>
    <t xml:space="preserve">What the full product would cost to build</t>
  </si>
  <si>
    <t xml:space="preserve">About ₹35 crore over three years. Estimate, not a quote. Change any blue cell and everything follows.</t>
  </si>
  <si>
    <t xml:space="preserve">Inputs</t>
  </si>
  <si>
    <t xml:space="preserve">Overhead on salary</t>
  </si>
  <si>
    <t xml:space="preserve">Employer costs, hardware, office, hiring, attrition</t>
  </si>
  <si>
    <t xml:space="preserve">Contingency</t>
  </si>
  <si>
    <t xml:space="preserve">A research-heavy build carries schedule risk</t>
  </si>
  <si>
    <t xml:space="preserve">₹ per US$</t>
  </si>
  <si>
    <t xml:space="preserve">Planning rate</t>
  </si>
  <si>
    <t xml:space="preserve">Duration, years</t>
  </si>
  <si>
    <t xml:space="preserve">Work breakdown, in person-years</t>
  </si>
  <si>
    <t xml:space="preserve">Workstream</t>
  </si>
  <si>
    <t xml:space="preserve">Vision section</t>
  </si>
  <si>
    <t xml:space="preserve">Principal</t>
  </si>
  <si>
    <t xml:space="preserve">Senior physics</t>
  </si>
  <si>
    <t xml:space="preserve">Senior software</t>
  </si>
  <si>
    <t xml:space="preserve">Engineer</t>
  </si>
  <si>
    <t xml:space="preserve">Test technician</t>
  </si>
  <si>
    <t xml:space="preserve">₹ lakh</t>
  </si>
  <si>
    <t xml:space="preserve">₹ crore</t>
  </si>
  <si>
    <t xml:space="preserve">Pay, ₹ lakh a year</t>
  </si>
  <si>
    <t xml:space="preserve">Measured dataset and validation</t>
  </si>
  <si>
    <t xml:space="preserve">Sections 7, 12</t>
  </si>
  <si>
    <t xml:space="preserve">Electrical and thermal solvers to pack scale</t>
  </si>
  <si>
    <t xml:space="preserve">Sections 6, 13</t>
  </si>
  <si>
    <t xml:space="preserve">Electrochemistry, CFD and FEA</t>
  </si>
  <si>
    <t xml:space="preserve">Section 13 extensions</t>
  </si>
  <si>
    <t xml:space="preserve">3D Design Studio and CAD exchange</t>
  </si>
  <si>
    <t xml:space="preserve">Sections 4, 11</t>
  </si>
  <si>
    <t xml:space="preserve">Component library and versioned model graph</t>
  </si>
  <si>
    <t xml:space="preserve">Sections 5, 13</t>
  </si>
  <si>
    <t xml:space="preserve">Simulation, results, failure search and comparison</t>
  </si>
  <si>
    <t xml:space="preserve">Sections 6 to 9</t>
  </si>
  <si>
    <t xml:space="preserve">AI copilot</t>
  </si>
  <si>
    <t xml:space="preserve">Section 10</t>
  </si>
  <si>
    <t xml:space="preserve">Reports, projects, collaboration and security</t>
  </si>
  <si>
    <t xml:space="preserve">Sections 3, 11, 14</t>
  </si>
  <si>
    <t xml:space="preserve">Quality, documentation and support</t>
  </si>
  <si>
    <t xml:space="preserve">Sections 12, 14</t>
  </si>
  <si>
    <t xml:space="preserve">Product, design and management</t>
  </si>
  <si>
    <t xml:space="preserve">All</t>
  </si>
  <si>
    <t xml:space="preserve">Total people</t>
  </si>
  <si>
    <t xml:space="preserve">Lab</t>
  </si>
  <si>
    <t xml:space="preserve">Item</t>
  </si>
  <si>
    <t xml:space="preserve">Basis</t>
  </si>
  <si>
    <t xml:space="preserve">Quantity</t>
  </si>
  <si>
    <t xml:space="preserve">Unit ₹</t>
  </si>
  <si>
    <t xml:space="preserve">Unit US$</t>
  </si>
  <si>
    <t xml:space="preserve">LG M50T cells</t>
  </si>
  <si>
    <t xml:space="preserve">sourced</t>
  </si>
  <si>
    <t xml:space="preserve">Neware 8-channel 5 V 6 A cyclers</t>
  </si>
  <si>
    <t xml:space="preserve">High-current module cyclers</t>
  </si>
  <si>
    <t xml:space="preserve">assumed</t>
  </si>
  <si>
    <t xml:space="preserve">Sub-zero thermal chambers</t>
  </si>
  <si>
    <t xml:space="preserve">Sensors, fixtures and safety equipment</t>
  </si>
  <si>
    <t xml:space="preserve">Total lab</t>
  </si>
  <si>
    <t xml:space="preserve">Running costs (all assumed)</t>
  </si>
  <si>
    <t xml:space="preserve">₹ lakh a year</t>
  </si>
  <si>
    <t xml:space="preserve">₹ lakh total</t>
  </si>
  <si>
    <t xml:space="preserve">Lab space, power and safety</t>
  </si>
  <si>
    <t xml:space="preserve">Cloud and compute</t>
  </si>
  <si>
    <t xml:space="preserve">Software tools and AI usage</t>
  </si>
  <si>
    <t xml:space="preserve">Total running</t>
  </si>
  <si>
    <t xml:space="preserve">Legal, IP and quality audits (one-off)</t>
  </si>
  <si>
    <t xml:space="preserve">Total</t>
  </si>
  <si>
    <t xml:space="preserve">Layer</t>
  </si>
  <si>
    <t xml:space="preserve">Share</t>
  </si>
  <si>
    <t xml:space="preserve">People</t>
  </si>
  <si>
    <t xml:space="preserve">Running costs</t>
  </si>
  <si>
    <t xml:space="preserve">One-off</t>
  </si>
  <si>
    <t xml:space="preserve">Total build</t>
  </si>
  <si>
    <t xml:space="preserve">In US$ million</t>
  </si>
  <si>
    <t xml:space="preserve">Average team size</t>
  </si>
  <si>
    <t xml:space="preserve">Cross-check: COCOMO II, a standard software estimate</t>
  </si>
  <si>
    <t xml:space="preserve">Thousand lines: solvers and physics</t>
  </si>
  <si>
    <t xml:space="preserve">Thousand lines: studio and cad</t>
  </si>
  <si>
    <t xml:space="preserve">Thousand lines: library and data</t>
  </si>
  <si>
    <t xml:space="preserve">Thousand lines: results and failure search</t>
  </si>
  <si>
    <t xml:space="preserve">Thousand lines: copilot and reports</t>
  </si>
  <si>
    <t xml:space="preserve">Thousand lines: platform</t>
  </si>
  <si>
    <t xml:space="preserve">Thousand lines, total</t>
  </si>
  <si>
    <t xml:space="preserve">Person-months = 2.94 × lines^1.0997</t>
  </si>
  <si>
    <t xml:space="preserve">Cost at our average pay, ₹ crore</t>
  </si>
  <si>
    <t xml:space="preserve">Difference from our people cost</t>
  </si>
  <si>
    <t xml:space="preserve">Two methods land close. Software lines only, so a lower number is expected.</t>
  </si>
  <si>
    <t xml:space="preserve">Benchmark: AspenTech</t>
  </si>
  <si>
    <t xml:space="preserve">Research and development, FY2024, US$ million</t>
  </si>
  <si>
    <t xml:space="preserve">In ₹ crore</t>
  </si>
  <si>
    <t xml:space="preserve">Our whole build as a share of one AspenTech year</t>
  </si>
  <si>
    <t xml:space="preserve">Who could use it, India first</t>
  </si>
  <si>
    <t xml:space="preserve">Students use it free, so revenue comes from labs and teams. Counts size the audience; they do not show anyone will pay.</t>
  </si>
  <si>
    <t xml:space="preserve">From AISHE 2021-22 (Ministry of Education)</t>
  </si>
  <si>
    <t xml:space="preserve">Group</t>
  </si>
  <si>
    <t xml:space="preserve">Count</t>
  </si>
  <si>
    <t xml:space="preserve">Note</t>
  </si>
  <si>
    <t xml:space="preserve">Engineering and technology students</t>
  </si>
  <si>
    <t xml:space="preserve">Electronics students</t>
  </si>
  <si>
    <t xml:space="preserve">Mechanical students</t>
  </si>
  <si>
    <t xml:space="preserve">Electrical students</t>
  </si>
  <si>
    <t xml:space="preserve">Engineering and technology colleges</t>
  </si>
  <si>
    <t xml:space="preserve">2,610 of 42,825 responding colleges are specialised in Engineering &amp; Technology. Universities and non-responding colleges are not counted.</t>
  </si>
  <si>
    <t xml:space="preserve">Assumed, nobody has seen this price</t>
  </si>
  <si>
    <t xml:space="preserve">Lab licence, ₹ a year</t>
  </si>
  <si>
    <t xml:space="preserve">Placeholder price for the free-for-students, paid-for-labs hypothesis. No customer has seen this price.</t>
  </si>
  <si>
    <t xml:space="preserve">Share of colleges reached</t>
  </si>
  <si>
    <t xml:space="preserve">Placeholder reach for the first three years. Not based on adoption data.</t>
  </si>
  <si>
    <t xml:space="preserve">Result</t>
  </si>
  <si>
    <t xml:space="preserve">Level</t>
  </si>
  <si>
    <t xml:space="preserve">What it is</t>
  </si>
  <si>
    <t xml:space="preserve">All engineering and technology students</t>
  </si>
  <si>
    <t xml:space="preserve">Electrical, electronics and mechanical students, the branches that design battery systems</t>
  </si>
  <si>
    <t xml:space="preserve">Assumed 5% of engineering colleges buying one lab licence, rounded down</t>
  </si>
  <si>
    <t xml:space="preserve">SOM revenue, ₹ lakh a year</t>
  </si>
  <si>
    <t xml:space="preserve">Honest finding</t>
  </si>
  <si>
    <t xml:space="preserve">Years of SOM revenue to repay the build</t>
  </si>
  <si>
    <t xml:space="preserve">Lab licences alone will not repay a ₹35 crore build. The plan needs a paid tier for engineering teams. That price is not set yet.</t>
  </si>
  <si>
    <t xml:space="preserve">What the backup would cost in parts</t>
  </si>
  <si>
    <t xml:space="preserve">Public listings checked 30 Oct 2026. One exact part per line. Two cells halve the cell bill, not the whole unit.</t>
  </si>
  <si>
    <t xml:space="preserve">Listings</t>
  </si>
  <si>
    <t xml:space="preserve">Part</t>
  </si>
  <si>
    <t xml:space="preserve">Seller</t>
  </si>
  <si>
    <t xml:space="preserve">Price</t>
  </si>
  <si>
    <t xml:space="preserve">Currency</t>
  </si>
  <si>
    <t xml:space="preserve">Tax</t>
  </si>
  <si>
    <t xml:space="preserve">Availability</t>
  </si>
  <si>
    <t xml:space="preserve">LG INR21700-M50T cell</t>
  </si>
  <si>
    <t xml:space="preserve">Robu</t>
  </si>
  <si>
    <t xml:space="preserve">INR</t>
  </si>
  <si>
    <t xml:space="preserve">Includes GST</t>
  </si>
  <si>
    <t xml:space="preserve">Out of stock</t>
  </si>
  <si>
    <t xml:space="preserve">Listing includes GST. Listed as out of stock when checked.</t>
  </si>
  <si>
    <t xml:space="preserve">Samsung INR21700-30T cell</t>
  </si>
  <si>
    <t xml:space="preserve">IMR Batteries</t>
  </si>
  <si>
    <t xml:space="preserve">USD</t>
  </si>
  <si>
    <t xml:space="preserve">Not stated</t>
  </si>
  <si>
    <t xml:space="preserve">Listed</t>
  </si>
  <si>
    <t xml:space="preserve">US listing. Not converted to rupees.</t>
  </si>
  <si>
    <t xml:space="preserve">ETP copper</t>
  </si>
  <si>
    <t xml:space="preserve">B B Electrotechnic</t>
  </si>
  <si>
    <t xml:space="preserve">Indicative</t>
  </si>
  <si>
    <t xml:space="preserve">Indicative rate per kg for a 12 mm busbar. Not a quote for thin fabricated links.</t>
  </si>
  <si>
    <t xml:space="preserve">Geekworm X1206 V2.0 UPS board</t>
  </si>
  <si>
    <t xml:space="preserve">Geekworm</t>
  </si>
  <si>
    <t xml:space="preserve">Contradictory on the page</t>
  </si>
  <si>
    <t xml:space="preserve">Batteries, shipping and import duty not included. The page showed both "Only 37 items in stock" and "Out of stock". No battery-side cutoff or efficiency is published, and the listing does not confirm running with fewer than four cells fitted.</t>
  </si>
  <si>
    <t xml:space="preserve">Battery protection</t>
  </si>
  <si>
    <t xml:space="preserve">Included in the UPS board. The maker lists battery overcurrent, overvoltage and reverse-cell protection. Not certified or independently tested here.</t>
  </si>
  <si>
    <t xml:space="preserve">Cost by cell count</t>
  </si>
  <si>
    <t xml:space="preserve">Cells</t>
  </si>
  <si>
    <t xml:space="preserve">Mass, g</t>
  </si>
  <si>
    <t xml:space="preserve">Cells, ₹</t>
  </si>
  <si>
    <t xml:space="preserve">Board, ₹</t>
  </si>
  <si>
    <t xml:space="preserve">Cells + board, ₹</t>
  </si>
  <si>
    <t xml:space="preserve">Saving against 4 cells</t>
  </si>
  <si>
    <t xml:space="preserve">Refused: over the cell current limit</t>
  </si>
  <si>
    <t xml:space="preserve">Recommended</t>
  </si>
  <si>
    <t xml:space="preserve">Starting design</t>
  </si>
  <si>
    <t xml:space="preserve">Mass per cell, g</t>
  </si>
  <si>
    <t xml:space="preserve">Cells + board leaves out shipping, import duty, links and enclosure. The board is not confirmed to run with fewer than four cells.</t>
  </si>
  <si>
    <t xml:space="preserve">How few cells can back up a Raspberry Pi 5?</t>
  </si>
  <si>
    <t xml:space="preserve">Two. 4,006 simulated cases, frozen before the first run. Every row is a design; the blue row is the recommendation.</t>
  </si>
  <si>
    <t xml:space="preserve">The job</t>
  </si>
  <si>
    <t xml:space="preserve">Pi load, W</t>
  </si>
  <si>
    <t xml:space="preserve">Converter efficiency</t>
  </si>
  <si>
    <t xml:space="preserve">Voltage floor, V</t>
  </si>
  <si>
    <t xml:space="preserve">Cell current limit, A</t>
  </si>
  <si>
    <t xml:space="preserve">Battery current held, A</t>
  </si>
  <si>
    <t xml:space="preserve">Constant-current stand-in for a constant-power load, for 10 minutes at 23 °C</t>
  </si>
  <si>
    <t xml:space="preserve">Results</t>
  </si>
  <si>
    <t xml:space="preserve">Output layout</t>
  </si>
  <si>
    <t xml:space="preserve">Verdict</t>
  </si>
  <si>
    <t xml:space="preserve">Required passed</t>
  </si>
  <si>
    <t xml:space="preserve">Required total</t>
  </si>
  <si>
    <t xml:space="preserve">Lowest V, normal</t>
  </si>
  <si>
    <t xml:space="preserve">Peak A, normal</t>
  </si>
  <si>
    <t xml:space="preserve">Lowest V, worst</t>
  </si>
  <si>
    <t xml:space="preserve">Peak A, worst</t>
  </si>
  <si>
    <t xml:space="preserve">Worst °C</t>
  </si>
  <si>
    <t xml:space="preserve">Spare A</t>
  </si>
  <si>
    <t xml:space="preserve">12 A stress samples passed</t>
  </si>
  <si>
    <t xml:space="preserve">Same end</t>
  </si>
  <si>
    <t xml:space="preserve">Refused</t>
  </si>
  <si>
    <t xml:space="preserve">Qualifies</t>
  </si>
  <si>
    <t xml:space="preserve">59 of 62</t>
  </si>
  <si>
    <t xml:space="preserve">Far cell, thicker links</t>
  </si>
  <si>
    <t xml:space="preserve">60 of 62</t>
  </si>
  <si>
    <t xml:space="preserve">Far cell</t>
  </si>
  <si>
    <t xml:space="preserve">Same end, thicker links</t>
  </si>
  <si>
    <t xml:space="preserve">62 of 62</t>
  </si>
  <si>
    <t xml:space="preserve">247 of 247</t>
  </si>
  <si>
    <t xml:space="preserve">The study at a glance</t>
  </si>
  <si>
    <t xml:space="preserve">Cases run</t>
  </si>
  <si>
    <t xml:space="preserve">Refused by the product, all for going over the cell current limit</t>
  </si>
  <si>
    <t xml:space="preserve">Calculated cases, every one closed its energy balance</t>
  </si>
  <si>
    <t xml:space="preserve">Time-step check: largest voltage change when the step was halved, V</t>
  </si>
  <si>
    <t xml:space="preserve">Time-step check: largest temperature change, K</t>
  </si>
  <si>
    <t xml:space="preserve">What argues against two cells</t>
  </si>
  <si>
    <t xml:space="preserve">Less margin: 5.33 A worst case, against 3.34 A for four cells.</t>
  </si>
  <si>
    <t xml:space="preserve">The 12 A stress test can fail: 2 of 62 mixed samples were refused. All 62 passed at the Pi load.</t>
  </si>
  <si>
    <t xml:space="preserve">No link layout wins everywhere: the far-cell output raised peak current in 35 of 81 paired cases.</t>
  </si>
  <si>
    <t xml:space="preserve">Temperatures are a range, not a prediction. See Evidence.</t>
  </si>
  <si>
    <t xml:space="preserve">How far the results can be trusted</t>
  </si>
  <si>
    <t xml:space="preserve">The maths checks out. Real-data comparison did not: all 12 cases missed. We kept that result and did not tune the model.</t>
  </si>
  <si>
    <t xml:space="preserve">Checks</t>
  </si>
  <si>
    <t xml:space="preserve">Check</t>
  </si>
  <si>
    <t xml:space="preserve">Python tests</t>
  </si>
  <si>
    <t xml:space="preserve">438 passed, 8 known skips</t>
  </si>
  <si>
    <t xml:space="preserve">Clean install; one test added later also passes</t>
  </si>
  <si>
    <t xml:space="preserve">JavaScript tests</t>
  </si>
  <si>
    <t xml:space="preserve">50 passed</t>
  </si>
  <si>
    <t xml:space="preserve">Editor and app logic</t>
  </si>
  <si>
    <t xml:space="preserve">Independent solver (PyBaMM)</t>
  </si>
  <si>
    <t xml:space="preserve">15 of 15 cases</t>
  </si>
  <si>
    <t xml:space="preserve">Same answer on voltage and heat, so the arithmetic is sound. This is not a test against real cells</t>
  </si>
  <si>
    <t xml:space="preserve">Energy balance</t>
  </si>
  <si>
    <t xml:space="preserve">Closed in all 3,964 runs</t>
  </si>
  <si>
    <t xml:space="preserve">Energy out of the cells equals energy delivered plus heat</t>
  </si>
  <si>
    <t xml:space="preserve">Export replay</t>
  </si>
  <si>
    <t xml:space="preserve">5 of 5 replayed</t>
  </si>
  <si>
    <t xml:space="preserve">A saved test reproduces exactly; tampered files are refused</t>
  </si>
  <si>
    <t xml:space="preserve">Data files</t>
  </si>
  <si>
    <t xml:space="preserve">194 files hashed</t>
  </si>
  <si>
    <t xml:space="preserve">54 module experiments from Piombo et al., inventory and integrity only</t>
  </si>
  <si>
    <t xml:space="preserve">Sealed records</t>
  </si>
  <si>
    <t xml:space="preserve">9 never opened</t>
  </si>
  <si>
    <t xml:space="preserve">3 module tests and 6 Samsung cell records, reserved for a final assessment</t>
  </si>
  <si>
    <t xml:space="preserve">Audit of V3 findings</t>
  </si>
  <si>
    <t xml:space="preserve">15 fixed, 3 partly, 2 open</t>
  </si>
  <si>
    <t xml:space="preserve">Self-check, not independent. Open: VF3-08, VF3-19</t>
  </si>
  <si>
    <t xml:space="preserve">Compared with published measurements: frozen before any run, never used to fit</t>
  </si>
  <si>
    <t xml:space="preserve">Voltage band: RMSE up to 50 mV and largest error up to 150 mV. Temperature band: peak rise error up to 1 K or 25% of the measured rise, whichever is larger.</t>
  </si>
  <si>
    <t xml:space="preserve">Case</t>
  </si>
  <si>
    <t xml:space="preserve">Role</t>
  </si>
  <si>
    <t xml:space="preserve">Current, A</t>
  </si>
  <si>
    <t xml:space="preserve">Voltage error, V</t>
  </si>
  <si>
    <t xml:space="preserve">Temp error, K</t>
  </si>
  <si>
    <t xml:space="preserve">Rise measured, K</t>
  </si>
  <si>
    <t xml:space="preserve">Rise simulated, K</t>
  </si>
  <si>
    <t xml:space="preserve">Difference, K</t>
  </si>
  <si>
    <t xml:space="preserve">Voltage in band</t>
  </si>
  <si>
    <t xml:space="preserve">Temp in band</t>
  </si>
  <si>
    <t xml:space="preserve">Test 28</t>
  </si>
  <si>
    <t xml:space="preserve">Exact M50T module</t>
  </si>
  <si>
    <t xml:space="preserve">No</t>
  </si>
  <si>
    <t xml:space="preserve">Test 28, Hall current</t>
  </si>
  <si>
    <t xml:space="preserve">Test 28, link +1 mΩ</t>
  </si>
  <si>
    <t xml:space="preserve">Test 53</t>
  </si>
  <si>
    <t xml:space="preserve">Module, already used for cooling</t>
  </si>
  <si>
    <t xml:space="preserve">Test 53, Hall current</t>
  </si>
  <si>
    <t xml:space="preserve">Test 53, link +1 mΩ</t>
  </si>
  <si>
    <t xml:space="preserve">Warwick cell02 2.5A</t>
  </si>
  <si>
    <t xml:space="preserve">Warwick M50 single cell</t>
  </si>
  <si>
    <t xml:space="preserve">Warwick cell02 5A</t>
  </si>
  <si>
    <t xml:space="preserve">Warwick cell03 2.5A</t>
  </si>
  <si>
    <t xml:space="preserve">Warwick cell03 5A</t>
  </si>
  <si>
    <t xml:space="preserve">Warwick cell04 2.5A</t>
  </si>
  <si>
    <t xml:space="preserve">Warwick cell04 5A</t>
  </si>
  <si>
    <t xml:space="preserve">Cases inside both bands</t>
  </si>
  <si>
    <t xml:space="preserve">What this means: single cells heat up more than the model says, and the test rig ran cooler than it says. So cooling depends on the rig, and every temperature stays a range. Voltage also stayed outside its band.</t>
  </si>
  <si>
    <t xml:space="preserve">What is assumed, untested and where each number came from</t>
  </si>
  <si>
    <t xml:space="preserve">Anything marked assumed is our judgement. No user, price or accuracy claim here comes from a real trial.</t>
  </si>
  <si>
    <t xml:space="preserve">Not done yet</t>
  </si>
  <si>
    <t xml:space="preserve">Nothing has been built. All results are simulated.</t>
  </si>
  <si>
    <t xml:space="preserve">No hardware test and no real user trial. Both are the next step.</t>
  </si>
  <si>
    <t xml:space="preserve">Not tested: Windows, browsers other than Chrome, the Codex AI route.</t>
  </si>
  <si>
    <t xml:space="preserve">No independent audit yet.</t>
  </si>
  <si>
    <t xml:space="preserve">The UPS board may not run with fewer than four cells, and publishes no cutoff or efficiency.</t>
  </si>
  <si>
    <t xml:space="preserve">The LG low-charge table change is recorded as unvalidated.</t>
  </si>
  <si>
    <t xml:space="preserve">Sources</t>
  </si>
  <si>
    <t xml:space="preserve">Source</t>
  </si>
  <si>
    <t xml:space="preserve">Principal pay, ₹37 lakh</t>
  </si>
  <si>
    <t xml:space="preserve">PERSOL India 2026 average for a senior software engineer, used here for principal-level staff https://www.persolindia.com/articles/salary-of-senior-software-engineer-in-india</t>
  </si>
  <si>
    <t xml:space="preserve">Senior physics pay, ₹25 lakh</t>
  </si>
  <si>
    <t xml:space="preserve">Top of the 12 to 25 LPA band for battery simulation engineers with 3 to 5 years, EVacad https://www.evacad.com/blog/battery-modelling-simulation-in-electric-vehicles-tools-career-scope-and-industry-application</t>
  </si>
  <si>
    <t xml:space="preserve">Senior software pay, ₹18.1 lakh</t>
  </si>
  <si>
    <t xml:space="preserve">Glassdoor 75th percentile, senior software engineer, India, July 2026 https://www.glassdoor.co.in/Salaries/software-engineer-senior-software-developer-salary-SRCH_KO0,43_P4.htm</t>
  </si>
  <si>
    <t xml:space="preserve">Engineer pay, ₹11 lakh</t>
  </si>
  <si>
    <t xml:space="preserve">Glassdoor average, same page https://www.glassdoor.co.in/Salaries/software-engineer-senior-software-developer-salary-SRCH_KO0,43_P4.htm</t>
  </si>
  <si>
    <t xml:space="preserve">Test technician pay, ₹8 lakh</t>
  </si>
  <si>
    <t xml:space="preserve">Average CTC at 2 to 5 years for design-side mechanical and CAE roles, salaryinhand https://salaryinhand.in/salaries/mechanical-engineer</t>
  </si>
  <si>
    <t xml:space="preserve">Robu listing, 30 Oct 2026</t>
  </si>
  <si>
    <t xml:space="preserve">Midpoint of the US$2,000 to 4,000 listing on goldsupplier https://www.goldsupplier.com/provide/p159048115.html</t>
  </si>
  <si>
    <t xml:space="preserve">Our planning figure</t>
  </si>
  <si>
    <t xml:space="preserve">Listed 100 L chambers near Rs 1.45 lakh stop at 5 C; battery work needs sub-zero.</t>
  </si>
  <si>
    <t xml:space="preserve">COCOMO II formula</t>
  </si>
  <si>
    <t xml:space="preserve">https://ranger.uta.edu/~khalili/Overview%20of%20COCOMO.htm</t>
  </si>
  <si>
    <t xml:space="preserve">AspenTech R&amp;D</t>
  </si>
  <si>
    <t xml:space="preserve">AspenTech fiscal 2024 results release https://www.silicon.co.uk/press-release/aspen-technology-announces-financial-results-for-the-fourth-quarter-and-fiscal-2024</t>
  </si>
  <si>
    <t xml:space="preserve">Students and colleges</t>
  </si>
  <si>
    <t xml:space="preserve">All India Survey on Higher Education 2021-22, Ministry of Education https://education.gov.in/sites/upload_files/mhrd/files/statistics-new/AISHE%20Book_2021-22_4.pdf (read from https://educationforallinindia.com/wp-content/uploads/2024/04/AISHE_Report_2021-22_Ministry_of_Education.pdf)</t>
  </si>
  <si>
    <t xml:space="preserve">https://robu.in/product/lg-inr21700-m50t-5000mah-1c-li-ion-battery/</t>
  </si>
  <si>
    <t xml:space="preserve">https://imrbatteries.com/products/samsung-30t-21700-3000mah-35a-battery</t>
  </si>
  <si>
    <t xml:space="preserve">https://www.bbelectro.net/etp-copper-busbars.html</t>
  </si>
  <si>
    <t xml:space="preserve">https://geekworm.com/products/x1206</t>
  </si>
  <si>
    <t xml:space="preserve">Module test data</t>
  </si>
  <si>
    <t xml:space="preserve">Piombo et al., DOI 10.17632/zh58byr53c.2, CC BY 4.0</t>
  </si>
  <si>
    <t xml:space="preserve">Single-cell test data</t>
  </si>
  <si>
    <t xml:space="preserve">Chen et al., Warwick LG M50 data, https://wrap.warwick.ac.uk/id/eprint/149527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</si>
</sst>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"/>
    <numFmt numFmtId="166" formatCode="0.00"/>
    <numFmt numFmtId="167" formatCode="#,##0"/>
    <numFmt numFmtId="168" formatCode="0.0"/>
    <numFmt numFmtId="169" formatCode="0.0%"/>
    <numFmt numFmtId="170" formatCode="0.0\×"/>
    <numFmt numFmtId="171" formatCode="0%"/>
    <numFmt numFmtId="172" formatCode="0.0;\-0.0;\-"/>
    <numFmt numFmtId="173" formatCode="#,##0.0"/>
    <numFmt numFmtId="174" formatCode="#,##0.00"/>
    <numFmt numFmtId="175" formatCode="0.000"/>
    <numFmt numFmtId="176" formatCode="0.00000"/>
    <numFmt numFmtId="177" formatCode="0.0000"/>
    <numFmt numFmtId="178" formatCode="\+0.00;\-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B6FA8"/>
      <name val="Arial"/>
      <family val="0"/>
      <charset val="1"/>
    </font>
    <font>
      <sz val="10"/>
      <color rgb="FF5B6B7A"/>
      <name val="Arial"/>
      <family val="0"/>
      <charset val="1"/>
    </font>
    <font>
      <b val="true"/>
      <sz val="11"/>
      <color rgb="FF0B6FA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0202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10202F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6FA8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DFF1FB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1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8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9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8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8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7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FF1FB"/>
      <rgbColor rgb="FF660066"/>
      <rgbColor rgb="FFFF8080"/>
      <rgbColor rgb="FF0B6FA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A"/>
      <rgbColor rgb="FF969696"/>
      <rgbColor rgb="FF003366"/>
      <rgbColor rgb="FF339966"/>
      <rgbColor rgb="FF10202F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</row>
    <row r="6" customFormat="false" ht="15" hidden="false" customHeight="false" outlineLevel="0" collapsed="false">
      <c r="A6" s="5" t="s">
        <v>6</v>
      </c>
      <c r="B6" s="6" t="n">
        <f aca="false">'Design study'!A16</f>
        <v>2</v>
      </c>
      <c r="C6" s="7" t="s">
        <v>7</v>
      </c>
    </row>
    <row r="7" customFormat="false" ht="15" hidden="false" customHeight="false" outlineLevel="0" collapsed="false">
      <c r="A7" s="5" t="s">
        <v>8</v>
      </c>
      <c r="B7" s="6" t="n">
        <f aca="false">'Design study'!D16</f>
        <v>33</v>
      </c>
      <c r="C7" s="7" t="s">
        <v>9</v>
      </c>
    </row>
    <row r="8" customFormat="false" ht="15" hidden="false" customHeight="false" outlineLevel="0" collapsed="false">
      <c r="A8" s="5" t="s">
        <v>10</v>
      </c>
      <c r="B8" s="8" t="n">
        <f aca="false">'Design study'!I16</f>
        <v>5.32842550437264</v>
      </c>
      <c r="C8" s="7" t="s">
        <v>11</v>
      </c>
    </row>
    <row r="9" customFormat="false" ht="15" hidden="false" customHeight="false" outlineLevel="0" collapsed="false">
      <c r="A9" s="5" t="s">
        <v>12</v>
      </c>
      <c r="B9" s="9" t="n">
        <f aca="false">Parts!C15</f>
        <v>2412</v>
      </c>
      <c r="C9" s="7" t="s">
        <v>13</v>
      </c>
    </row>
    <row r="10" customFormat="false" ht="15" hidden="false" customHeight="false" outlineLevel="0" collapsed="false">
      <c r="A10" s="5" t="s">
        <v>14</v>
      </c>
      <c r="B10" s="9" t="n">
        <f aca="false">'Design study'!I28</f>
        <v>4006</v>
      </c>
      <c r="C10" s="7" t="s">
        <v>15</v>
      </c>
    </row>
    <row r="11" customFormat="false" ht="15" hidden="false" customHeight="false" outlineLevel="0" collapsed="false">
      <c r="A11" s="5" t="s">
        <v>16</v>
      </c>
      <c r="B11" s="6" t="n">
        <f aca="false">Evidence!I30</f>
        <v>0</v>
      </c>
      <c r="C11" s="7" t="s">
        <v>17</v>
      </c>
    </row>
    <row r="12" customFormat="false" ht="15" hidden="false" customHeight="false" outlineLevel="0" collapsed="false">
      <c r="A12" s="5" t="s">
        <v>18</v>
      </c>
      <c r="B12" s="10" t="n">
        <f aca="false">'Build cost'!B49</f>
        <v>35.38284</v>
      </c>
      <c r="C12" s="7" t="s">
        <v>19</v>
      </c>
    </row>
    <row r="13" customFormat="false" ht="15" hidden="false" customHeight="false" outlineLevel="0" collapsed="false">
      <c r="A13" s="5" t="s">
        <v>20</v>
      </c>
      <c r="B13" s="10" t="n">
        <f aca="false">'Build cost'!H23</f>
        <v>100.5</v>
      </c>
      <c r="C13" s="7" t="s">
        <v>21</v>
      </c>
    </row>
    <row r="14" customFormat="false" ht="15" hidden="false" customHeight="false" outlineLevel="0" collapsed="false">
      <c r="A14" s="5" t="s">
        <v>22</v>
      </c>
      <c r="B14" s="11" t="n">
        <f aca="false">'Build cost'!B68</f>
        <v>0.0195075408401529</v>
      </c>
      <c r="C14" s="7" t="s">
        <v>23</v>
      </c>
    </row>
    <row r="15" customFormat="false" ht="15" hidden="false" customHeight="false" outlineLevel="0" collapsed="false">
      <c r="A15" s="5" t="s">
        <v>24</v>
      </c>
      <c r="B15" s="10" t="n">
        <f aca="false">Market!B18</f>
        <v>41.31303</v>
      </c>
      <c r="C15" s="7" t="s">
        <v>25</v>
      </c>
    </row>
    <row r="16" customFormat="false" ht="15" hidden="false" customHeight="false" outlineLevel="0" collapsed="false">
      <c r="A16" s="5" t="s">
        <v>26</v>
      </c>
      <c r="B16" s="10" t="n">
        <f aca="false">Market!B19</f>
        <v>15.55323</v>
      </c>
      <c r="C16" s="7" t="s">
        <v>27</v>
      </c>
    </row>
    <row r="17" customFormat="false" ht="15" hidden="false" customHeight="false" outlineLevel="0" collapsed="false">
      <c r="A17" s="5" t="s">
        <v>28</v>
      </c>
      <c r="B17" s="6" t="n">
        <f aca="false">Market!B20</f>
        <v>130</v>
      </c>
      <c r="C17" s="7" t="s">
        <v>29</v>
      </c>
    </row>
    <row r="19" customFormat="false" ht="15" hidden="false" customHeight="false" outlineLevel="0" collapsed="false">
      <c r="A19" s="3" t="s">
        <v>30</v>
      </c>
    </row>
    <row r="20" customFormat="false" ht="15" hidden="false" customHeight="true" outlineLevel="0" collapsed="false">
      <c r="A20" s="12" t="s">
        <v>31</v>
      </c>
      <c r="B20" s="13" t="s">
        <v>32</v>
      </c>
      <c r="C20" s="13"/>
    </row>
    <row r="21" customFormat="false" ht="15" hidden="false" customHeight="true" outlineLevel="0" collapsed="false">
      <c r="A21" s="12" t="s">
        <v>33</v>
      </c>
      <c r="B21" s="13" t="s">
        <v>34</v>
      </c>
      <c r="C21" s="13"/>
    </row>
    <row r="22" customFormat="false" ht="15" hidden="false" customHeight="true" outlineLevel="0" collapsed="false">
      <c r="A22" s="12" t="s">
        <v>35</v>
      </c>
      <c r="B22" s="13" t="s">
        <v>36</v>
      </c>
      <c r="C22" s="13"/>
    </row>
    <row r="23" customFormat="false" ht="15" hidden="false" customHeight="true" outlineLevel="0" collapsed="false">
      <c r="A23" s="12" t="s">
        <v>37</v>
      </c>
      <c r="B23" s="13" t="s">
        <v>38</v>
      </c>
      <c r="C23" s="13"/>
    </row>
    <row r="24" customFormat="false" ht="15" hidden="false" customHeight="true" outlineLevel="0" collapsed="false">
      <c r="A24" s="12" t="s">
        <v>39</v>
      </c>
      <c r="B24" s="13" t="s">
        <v>40</v>
      </c>
      <c r="C24" s="13"/>
    </row>
    <row r="25" customFormat="false" ht="15" hidden="false" customHeight="true" outlineLevel="0" collapsed="false">
      <c r="A25" s="12" t="s">
        <v>41</v>
      </c>
      <c r="B25" s="13" t="s">
        <v>42</v>
      </c>
      <c r="C25" s="13"/>
    </row>
    <row r="27" customFormat="false" ht="15" hidden="false" customHeight="false" outlineLevel="0" collapsed="false">
      <c r="A27" s="3" t="s">
        <v>43</v>
      </c>
    </row>
    <row r="28" customFormat="false" ht="15" hidden="false" customHeight="true" outlineLevel="0" collapsed="false">
      <c r="A28" s="14" t="s">
        <v>44</v>
      </c>
      <c r="B28" s="13" t="s">
        <v>45</v>
      </c>
      <c r="C28" s="13"/>
    </row>
    <row r="29" customFormat="false" ht="15" hidden="false" customHeight="true" outlineLevel="0" collapsed="false">
      <c r="A29" s="5" t="s">
        <v>46</v>
      </c>
      <c r="B29" s="13" t="s">
        <v>47</v>
      </c>
      <c r="C29" s="13"/>
    </row>
    <row r="30" customFormat="false" ht="15" hidden="false" customHeight="true" outlineLevel="0" collapsed="false">
      <c r="A30" s="15" t="s">
        <v>48</v>
      </c>
      <c r="B30" s="13" t="s">
        <v>49</v>
      </c>
      <c r="C30" s="13"/>
    </row>
    <row r="31" customFormat="false" ht="15" hidden="false" customHeight="true" outlineLevel="0" collapsed="false">
      <c r="A31" s="16" t="s">
        <v>50</v>
      </c>
      <c r="B31" s="13" t="s">
        <v>51</v>
      </c>
      <c r="C31" s="13"/>
    </row>
  </sheetData>
  <mergeCells count="10">
    <mergeCell ref="B20:C20"/>
    <mergeCell ref="B21:C21"/>
    <mergeCell ref="B22:C22"/>
    <mergeCell ref="B23:C23"/>
    <mergeCell ref="B24:C24"/>
    <mergeCell ref="B25:C25"/>
    <mergeCell ref="B28:C28"/>
    <mergeCell ref="B29:C29"/>
    <mergeCell ref="B30:C30"/>
    <mergeCell ref="B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10" min="3" style="0" width="12"/>
  </cols>
  <sheetData>
    <row r="1" customFormat="false" ht="18.55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4" customFormat="false" ht="15" hidden="false" customHeight="false" outlineLevel="0" collapsed="false">
      <c r="A4" s="3" t="s">
        <v>54</v>
      </c>
    </row>
    <row r="5" customFormat="false" ht="15" hidden="false" customHeight="false" outlineLevel="0" collapsed="false">
      <c r="A5" s="5" t="s">
        <v>55</v>
      </c>
      <c r="B5" s="17" t="n">
        <v>1.4</v>
      </c>
      <c r="C5" s="7" t="s">
        <v>56</v>
      </c>
    </row>
    <row r="6" customFormat="false" ht="15" hidden="false" customHeight="false" outlineLevel="0" collapsed="false">
      <c r="A6" s="5" t="s">
        <v>57</v>
      </c>
      <c r="B6" s="18" t="n">
        <v>0.2</v>
      </c>
      <c r="C6" s="7" t="s">
        <v>58</v>
      </c>
    </row>
    <row r="7" customFormat="false" ht="15" hidden="false" customHeight="false" outlineLevel="0" collapsed="false">
      <c r="A7" s="5" t="s">
        <v>59</v>
      </c>
      <c r="B7" s="19" t="n">
        <v>88</v>
      </c>
      <c r="C7" s="7" t="s">
        <v>60</v>
      </c>
    </row>
    <row r="8" customFormat="false" ht="15" hidden="false" customHeight="false" outlineLevel="0" collapsed="false">
      <c r="A8" s="5" t="s">
        <v>61</v>
      </c>
      <c r="B8" s="19" t="n">
        <v>3</v>
      </c>
    </row>
    <row r="10" customFormat="false" ht="15" hidden="false" customHeight="false" outlineLevel="0" collapsed="false">
      <c r="A10" s="3" t="s">
        <v>62</v>
      </c>
    </row>
    <row r="11" customFormat="false" ht="23.85" hidden="false" customHeight="false" outlineLevel="0" collapsed="false">
      <c r="A11" s="4" t="s">
        <v>63</v>
      </c>
      <c r="B11" s="4" t="s">
        <v>64</v>
      </c>
      <c r="C11" s="4" t="s">
        <v>65</v>
      </c>
      <c r="D11" s="4" t="s">
        <v>66</v>
      </c>
      <c r="E11" s="4" t="s">
        <v>67</v>
      </c>
      <c r="F11" s="4" t="s">
        <v>68</v>
      </c>
      <c r="G11" s="4" t="s">
        <v>69</v>
      </c>
      <c r="H11" s="4" t="s">
        <v>20</v>
      </c>
      <c r="I11" s="4" t="s">
        <v>70</v>
      </c>
      <c r="J11" s="4" t="s">
        <v>71</v>
      </c>
    </row>
    <row r="12" customFormat="false" ht="15" hidden="false" customHeight="false" outlineLevel="0" collapsed="false">
      <c r="A12" s="12" t="s">
        <v>72</v>
      </c>
      <c r="C12" s="20" t="n">
        <v>37</v>
      </c>
      <c r="D12" s="20" t="n">
        <v>25</v>
      </c>
      <c r="E12" s="20" t="n">
        <v>18.1</v>
      </c>
      <c r="F12" s="20" t="n">
        <v>11</v>
      </c>
      <c r="G12" s="20" t="n">
        <v>8</v>
      </c>
    </row>
    <row r="13" customFormat="false" ht="15" hidden="false" customHeight="false" outlineLevel="0" collapsed="false">
      <c r="A13" s="5" t="s">
        <v>73</v>
      </c>
      <c r="B13" s="5" t="s">
        <v>74</v>
      </c>
      <c r="C13" s="21" t="n">
        <v>0.5</v>
      </c>
      <c r="D13" s="21" t="n">
        <v>3</v>
      </c>
      <c r="E13" s="21" t="n">
        <v>0</v>
      </c>
      <c r="F13" s="21" t="n">
        <v>3</v>
      </c>
      <c r="G13" s="21" t="n">
        <v>6</v>
      </c>
      <c r="H13" s="22" t="n">
        <f aca="false">SUM(C13:G13)</f>
        <v>12.5</v>
      </c>
      <c r="I13" s="23" t="n">
        <f aca="false">SUMPRODUCT($C$12:$G$12,C13:G13)*$B$5</f>
        <v>244.3</v>
      </c>
      <c r="J13" s="24" t="n">
        <f aca="false">I13/100</f>
        <v>2.443</v>
      </c>
    </row>
    <row r="14" customFormat="false" ht="15" hidden="false" customHeight="false" outlineLevel="0" collapsed="false">
      <c r="A14" s="5" t="s">
        <v>75</v>
      </c>
      <c r="B14" s="5" t="s">
        <v>76</v>
      </c>
      <c r="C14" s="21" t="n">
        <v>1</v>
      </c>
      <c r="D14" s="21" t="n">
        <v>6</v>
      </c>
      <c r="E14" s="21" t="n">
        <v>3</v>
      </c>
      <c r="F14" s="21" t="n">
        <v>0</v>
      </c>
      <c r="G14" s="21" t="n">
        <v>0</v>
      </c>
      <c r="H14" s="22" t="n">
        <f aca="false">SUM(C14:G14)</f>
        <v>10</v>
      </c>
      <c r="I14" s="23" t="n">
        <f aca="false">SUMPRODUCT($C$12:$G$12,C14:G14)*$B$5</f>
        <v>337.82</v>
      </c>
      <c r="J14" s="24" t="n">
        <f aca="false">I14/100</f>
        <v>3.3782</v>
      </c>
    </row>
    <row r="15" customFormat="false" ht="23.85" hidden="false" customHeight="false" outlineLevel="0" collapsed="false">
      <c r="A15" s="5" t="s">
        <v>77</v>
      </c>
      <c r="B15" s="5" t="s">
        <v>78</v>
      </c>
      <c r="C15" s="21" t="n">
        <v>1</v>
      </c>
      <c r="D15" s="21" t="n">
        <v>8</v>
      </c>
      <c r="E15" s="21" t="n">
        <v>3</v>
      </c>
      <c r="F15" s="21" t="n">
        <v>0</v>
      </c>
      <c r="G15" s="21" t="n">
        <v>0</v>
      </c>
      <c r="H15" s="22" t="n">
        <f aca="false">SUM(C15:G15)</f>
        <v>12</v>
      </c>
      <c r="I15" s="23" t="n">
        <f aca="false">SUMPRODUCT($C$12:$G$12,C15:G15)*$B$5</f>
        <v>407.82</v>
      </c>
      <c r="J15" s="24" t="n">
        <f aca="false">I15/100</f>
        <v>4.0782</v>
      </c>
    </row>
    <row r="16" customFormat="false" ht="15" hidden="false" customHeight="false" outlineLevel="0" collapsed="false">
      <c r="A16" s="5" t="s">
        <v>79</v>
      </c>
      <c r="B16" s="5" t="s">
        <v>80</v>
      </c>
      <c r="C16" s="21" t="n">
        <v>1</v>
      </c>
      <c r="D16" s="21" t="n">
        <v>0</v>
      </c>
      <c r="E16" s="21" t="n">
        <v>10</v>
      </c>
      <c r="F16" s="21" t="n">
        <v>6</v>
      </c>
      <c r="G16" s="21" t="n">
        <v>0</v>
      </c>
      <c r="H16" s="22" t="n">
        <f aca="false">SUM(C16:G16)</f>
        <v>17</v>
      </c>
      <c r="I16" s="23" t="n">
        <f aca="false">SUMPRODUCT($C$12:$G$12,C16:G16)*$B$5</f>
        <v>397.6</v>
      </c>
      <c r="J16" s="24" t="n">
        <f aca="false">I16/100</f>
        <v>3.976</v>
      </c>
    </row>
    <row r="17" customFormat="false" ht="15" hidden="false" customHeight="false" outlineLevel="0" collapsed="false">
      <c r="A17" s="5" t="s">
        <v>81</v>
      </c>
      <c r="B17" s="5" t="s">
        <v>82</v>
      </c>
      <c r="C17" s="21" t="n">
        <v>0</v>
      </c>
      <c r="D17" s="21" t="n">
        <v>1</v>
      </c>
      <c r="E17" s="21" t="n">
        <v>4</v>
      </c>
      <c r="F17" s="21" t="n">
        <v>4</v>
      </c>
      <c r="G17" s="21" t="n">
        <v>0</v>
      </c>
      <c r="H17" s="22" t="n">
        <f aca="false">SUM(C17:G17)</f>
        <v>9</v>
      </c>
      <c r="I17" s="23" t="n">
        <f aca="false">SUMPRODUCT($C$12:$G$12,C17:G17)*$B$5</f>
        <v>197.96</v>
      </c>
      <c r="J17" s="24" t="n">
        <f aca="false">I17/100</f>
        <v>1.9796</v>
      </c>
    </row>
    <row r="18" customFormat="false" ht="15" hidden="false" customHeight="false" outlineLevel="0" collapsed="false">
      <c r="A18" s="5" t="s">
        <v>83</v>
      </c>
      <c r="B18" s="5" t="s">
        <v>84</v>
      </c>
      <c r="C18" s="21" t="n">
        <v>0</v>
      </c>
      <c r="D18" s="21" t="n">
        <v>2</v>
      </c>
      <c r="E18" s="21" t="n">
        <v>6</v>
      </c>
      <c r="F18" s="21" t="n">
        <v>4</v>
      </c>
      <c r="G18" s="21" t="n">
        <v>0</v>
      </c>
      <c r="H18" s="22" t="n">
        <f aca="false">SUM(C18:G18)</f>
        <v>12</v>
      </c>
      <c r="I18" s="23" t="n">
        <f aca="false">SUMPRODUCT($C$12:$G$12,C18:G18)*$B$5</f>
        <v>283.64</v>
      </c>
      <c r="J18" s="24" t="n">
        <f aca="false">I18/100</f>
        <v>2.8364</v>
      </c>
    </row>
    <row r="19" customFormat="false" ht="15" hidden="false" customHeight="false" outlineLevel="0" collapsed="false">
      <c r="A19" s="5" t="s">
        <v>85</v>
      </c>
      <c r="B19" s="5" t="s">
        <v>86</v>
      </c>
      <c r="C19" s="21" t="n">
        <v>0</v>
      </c>
      <c r="D19" s="21" t="n">
        <v>0</v>
      </c>
      <c r="E19" s="21" t="n">
        <v>2</v>
      </c>
      <c r="F19" s="21" t="n">
        <v>1</v>
      </c>
      <c r="G19" s="21" t="n">
        <v>0</v>
      </c>
      <c r="H19" s="22" t="n">
        <f aca="false">SUM(C19:G19)</f>
        <v>3</v>
      </c>
      <c r="I19" s="23" t="n">
        <f aca="false">SUMPRODUCT($C$12:$G$12,C19:G19)*$B$5</f>
        <v>66.08</v>
      </c>
      <c r="J19" s="24" t="n">
        <f aca="false">I19/100</f>
        <v>0.6608</v>
      </c>
    </row>
    <row r="20" customFormat="false" ht="15" hidden="false" customHeight="false" outlineLevel="0" collapsed="false">
      <c r="A20" s="5" t="s">
        <v>87</v>
      </c>
      <c r="B20" s="5" t="s">
        <v>88</v>
      </c>
      <c r="C20" s="21" t="n">
        <v>0</v>
      </c>
      <c r="D20" s="21" t="n">
        <v>0</v>
      </c>
      <c r="E20" s="21" t="n">
        <v>5</v>
      </c>
      <c r="F20" s="21" t="n">
        <v>5</v>
      </c>
      <c r="G20" s="21" t="n">
        <v>0</v>
      </c>
      <c r="H20" s="22" t="n">
        <f aca="false">SUM(C20:G20)</f>
        <v>10</v>
      </c>
      <c r="I20" s="23" t="n">
        <f aca="false">SUMPRODUCT($C$12:$G$12,C20:G20)*$B$5</f>
        <v>203.7</v>
      </c>
      <c r="J20" s="24" t="n">
        <f aca="false">I20/100</f>
        <v>2.037</v>
      </c>
    </row>
    <row r="21" customFormat="false" ht="15" hidden="false" customHeight="false" outlineLevel="0" collapsed="false">
      <c r="A21" s="5" t="s">
        <v>89</v>
      </c>
      <c r="B21" s="5" t="s">
        <v>90</v>
      </c>
      <c r="C21" s="21" t="n">
        <v>0</v>
      </c>
      <c r="D21" s="21" t="n">
        <v>0</v>
      </c>
      <c r="E21" s="21" t="n">
        <v>0</v>
      </c>
      <c r="F21" s="21" t="n">
        <v>6</v>
      </c>
      <c r="G21" s="21" t="n">
        <v>3</v>
      </c>
      <c r="H21" s="22" t="n">
        <f aca="false">SUM(C21:G21)</f>
        <v>9</v>
      </c>
      <c r="I21" s="23" t="n">
        <f aca="false">SUMPRODUCT($C$12:$G$12,C21:G21)*$B$5</f>
        <v>126</v>
      </c>
      <c r="J21" s="24" t="n">
        <f aca="false">I21/100</f>
        <v>1.26</v>
      </c>
    </row>
    <row r="22" customFormat="false" ht="15" hidden="false" customHeight="false" outlineLevel="0" collapsed="false">
      <c r="A22" s="5" t="s">
        <v>91</v>
      </c>
      <c r="B22" s="5" t="s">
        <v>92</v>
      </c>
      <c r="C22" s="21" t="n">
        <v>3</v>
      </c>
      <c r="D22" s="21" t="n">
        <v>0</v>
      </c>
      <c r="E22" s="21" t="n">
        <v>3</v>
      </c>
      <c r="F22" s="21" t="n">
        <v>0</v>
      </c>
      <c r="G22" s="21" t="n">
        <v>0</v>
      </c>
      <c r="H22" s="22" t="n">
        <f aca="false">SUM(C22:G22)</f>
        <v>6</v>
      </c>
      <c r="I22" s="23" t="n">
        <f aca="false">SUMPRODUCT($C$12:$G$12,C22:G22)*$B$5</f>
        <v>231.42</v>
      </c>
      <c r="J22" s="24" t="n">
        <f aca="false">I22/100</f>
        <v>2.3142</v>
      </c>
    </row>
    <row r="23" customFormat="false" ht="15" hidden="false" customHeight="false" outlineLevel="0" collapsed="false">
      <c r="A23" s="12" t="s">
        <v>93</v>
      </c>
      <c r="H23" s="25" t="n">
        <f aca="false">SUM(H13:H22)</f>
        <v>100.5</v>
      </c>
      <c r="I23" s="26" t="n">
        <f aca="false">SUM(I13:I22)</f>
        <v>2496.34</v>
      </c>
      <c r="J23" s="27" t="n">
        <f aca="false">SUM(J13:J22)</f>
        <v>24.9634</v>
      </c>
    </row>
    <row r="25" customFormat="false" ht="15" hidden="false" customHeight="false" outlineLevel="0" collapsed="false">
      <c r="A25" s="3" t="s">
        <v>94</v>
      </c>
    </row>
    <row r="26" customFormat="false" ht="15" hidden="false" customHeight="false" outlineLevel="0" collapsed="false">
      <c r="A26" s="4" t="s">
        <v>95</v>
      </c>
      <c r="B26" s="4" t="s">
        <v>96</v>
      </c>
      <c r="C26" s="4" t="s">
        <v>97</v>
      </c>
      <c r="D26" s="4" t="s">
        <v>98</v>
      </c>
      <c r="E26" s="4" t="s">
        <v>99</v>
      </c>
      <c r="F26" s="4" t="s">
        <v>70</v>
      </c>
    </row>
    <row r="27" customFormat="false" ht="15" hidden="false" customHeight="false" outlineLevel="0" collapsed="false">
      <c r="A27" s="5" t="s">
        <v>100</v>
      </c>
      <c r="B27" s="5" t="s">
        <v>101</v>
      </c>
      <c r="C27" s="28" t="n">
        <v>500</v>
      </c>
      <c r="D27" s="28" t="n">
        <v>1206</v>
      </c>
      <c r="E27" s="28"/>
      <c r="F27" s="23" t="n">
        <f aca="false">C27*IF(D27&lt;&gt;"",D27,E27*$B$7)/100000</f>
        <v>6.03</v>
      </c>
    </row>
    <row r="28" customFormat="false" ht="15" hidden="false" customHeight="false" outlineLevel="0" collapsed="false">
      <c r="A28" s="5" t="s">
        <v>102</v>
      </c>
      <c r="B28" s="5" t="s">
        <v>101</v>
      </c>
      <c r="C28" s="28" t="n">
        <v>5</v>
      </c>
      <c r="D28" s="28"/>
      <c r="E28" s="28" t="n">
        <v>3000</v>
      </c>
      <c r="F28" s="23" t="n">
        <f aca="false">C28*IF(D28&lt;&gt;"",D28,E28*$B$7)/100000</f>
        <v>13.2</v>
      </c>
    </row>
    <row r="29" customFormat="false" ht="15" hidden="false" customHeight="false" outlineLevel="0" collapsed="false">
      <c r="A29" s="5" t="s">
        <v>103</v>
      </c>
      <c r="B29" s="5" t="s">
        <v>104</v>
      </c>
      <c r="C29" s="28" t="n">
        <v>4</v>
      </c>
      <c r="D29" s="29" t="n">
        <v>1200000</v>
      </c>
      <c r="E29" s="28"/>
      <c r="F29" s="23" t="n">
        <f aca="false">C29*IF(D29&lt;&gt;"",D29,E29*$B$7)/100000</f>
        <v>48</v>
      </c>
    </row>
    <row r="30" customFormat="false" ht="15" hidden="false" customHeight="false" outlineLevel="0" collapsed="false">
      <c r="A30" s="5" t="s">
        <v>105</v>
      </c>
      <c r="B30" s="5" t="s">
        <v>104</v>
      </c>
      <c r="C30" s="28" t="n">
        <v>4</v>
      </c>
      <c r="D30" s="29" t="n">
        <v>500000</v>
      </c>
      <c r="E30" s="28"/>
      <c r="F30" s="23" t="n">
        <f aca="false">C30*IF(D30&lt;&gt;"",D30,E30*$B$7)/100000</f>
        <v>20</v>
      </c>
    </row>
    <row r="31" customFormat="false" ht="15" hidden="false" customHeight="false" outlineLevel="0" collapsed="false">
      <c r="A31" s="5" t="s">
        <v>106</v>
      </c>
      <c r="B31" s="5" t="s">
        <v>104</v>
      </c>
      <c r="C31" s="28" t="n">
        <v>1</v>
      </c>
      <c r="D31" s="29" t="n">
        <v>1500000</v>
      </c>
      <c r="E31" s="28"/>
      <c r="F31" s="23" t="n">
        <f aca="false">C31*IF(D31&lt;&gt;"",D31,E31*$B$7)/100000</f>
        <v>15</v>
      </c>
    </row>
    <row r="32" customFormat="false" ht="15" hidden="false" customHeight="false" outlineLevel="0" collapsed="false">
      <c r="A32" s="12" t="s">
        <v>107</v>
      </c>
      <c r="F32" s="26" t="n">
        <f aca="false">SUM(F27:F31)</f>
        <v>102.23</v>
      </c>
    </row>
    <row r="34" customFormat="false" ht="15" hidden="false" customHeight="false" outlineLevel="0" collapsed="false">
      <c r="A34" s="3" t="s">
        <v>108</v>
      </c>
    </row>
    <row r="35" customFormat="false" ht="15" hidden="false" customHeight="false" outlineLevel="0" collapsed="false">
      <c r="A35" s="4" t="s">
        <v>95</v>
      </c>
      <c r="B35" s="4" t="s">
        <v>96</v>
      </c>
      <c r="C35" s="4" t="s">
        <v>109</v>
      </c>
      <c r="D35" s="4" t="s">
        <v>110</v>
      </c>
    </row>
    <row r="36" customFormat="false" ht="15" hidden="false" customHeight="false" outlineLevel="0" collapsed="false">
      <c r="A36" s="5" t="s">
        <v>111</v>
      </c>
      <c r="B36" s="5" t="s">
        <v>104</v>
      </c>
      <c r="C36" s="19" t="n">
        <v>30</v>
      </c>
      <c r="D36" s="30" t="n">
        <f aca="false">C36*$B$8</f>
        <v>90</v>
      </c>
    </row>
    <row r="37" customFormat="false" ht="15" hidden="false" customHeight="false" outlineLevel="0" collapsed="false">
      <c r="A37" s="5" t="s">
        <v>112</v>
      </c>
      <c r="B37" s="5" t="s">
        <v>104</v>
      </c>
      <c r="C37" s="19" t="n">
        <v>40</v>
      </c>
      <c r="D37" s="30" t="n">
        <f aca="false">C37*$B$8</f>
        <v>120</v>
      </c>
    </row>
    <row r="38" customFormat="false" ht="15" hidden="false" customHeight="false" outlineLevel="0" collapsed="false">
      <c r="A38" s="5" t="s">
        <v>113</v>
      </c>
      <c r="B38" s="5" t="s">
        <v>104</v>
      </c>
      <c r="C38" s="19" t="n">
        <v>30</v>
      </c>
      <c r="D38" s="30" t="n">
        <f aca="false">C38*$B$8</f>
        <v>90</v>
      </c>
    </row>
    <row r="39" customFormat="false" ht="15" hidden="false" customHeight="false" outlineLevel="0" collapsed="false">
      <c r="A39" s="12" t="s">
        <v>114</v>
      </c>
      <c r="D39" s="31" t="n">
        <f aca="false">SUM(D36:D38)</f>
        <v>300</v>
      </c>
    </row>
    <row r="40" customFormat="false" ht="15" hidden="false" customHeight="false" outlineLevel="0" collapsed="false">
      <c r="A40" s="5" t="s">
        <v>115</v>
      </c>
      <c r="B40" s="5" t="s">
        <v>104</v>
      </c>
      <c r="D40" s="29" t="n">
        <v>50</v>
      </c>
    </row>
    <row r="42" customFormat="false" ht="15" hidden="false" customHeight="false" outlineLevel="0" collapsed="false">
      <c r="A42" s="3" t="s">
        <v>116</v>
      </c>
    </row>
    <row r="43" customFormat="false" ht="15" hidden="false" customHeight="false" outlineLevel="0" collapsed="false">
      <c r="A43" s="4" t="s">
        <v>117</v>
      </c>
      <c r="B43" s="4" t="s">
        <v>71</v>
      </c>
      <c r="C43" s="4" t="s">
        <v>118</v>
      </c>
    </row>
    <row r="44" customFormat="false" ht="15" hidden="false" customHeight="false" outlineLevel="0" collapsed="false">
      <c r="A44" s="5" t="s">
        <v>119</v>
      </c>
      <c r="B44" s="24" t="n">
        <f aca="false">I23/100</f>
        <v>24.9634</v>
      </c>
      <c r="C44" s="32" t="n">
        <f aca="false">B44/$B$49</f>
        <v>0.705522790143471</v>
      </c>
    </row>
    <row r="45" customFormat="false" ht="15" hidden="false" customHeight="false" outlineLevel="0" collapsed="false">
      <c r="A45" s="5" t="s">
        <v>94</v>
      </c>
      <c r="B45" s="24" t="n">
        <f aca="false">F32/100</f>
        <v>1.0223</v>
      </c>
      <c r="C45" s="32" t="n">
        <f aca="false">B45/$B$49</f>
        <v>0.0288925366081411</v>
      </c>
    </row>
    <row r="46" customFormat="false" ht="15" hidden="false" customHeight="false" outlineLevel="0" collapsed="false">
      <c r="A46" s="5" t="s">
        <v>120</v>
      </c>
      <c r="B46" s="24" t="n">
        <f aca="false">D39/100</f>
        <v>3</v>
      </c>
      <c r="C46" s="32" t="n">
        <f aca="false">B46/$B$49</f>
        <v>0.0847868627843328</v>
      </c>
    </row>
    <row r="47" customFormat="false" ht="15" hidden="false" customHeight="false" outlineLevel="0" collapsed="false">
      <c r="A47" s="5" t="s">
        <v>121</v>
      </c>
      <c r="B47" s="24" t="n">
        <f aca="false">D40/100</f>
        <v>0.5</v>
      </c>
      <c r="C47" s="32" t="n">
        <f aca="false">B47/$B$49</f>
        <v>0.0141311437973888</v>
      </c>
    </row>
    <row r="48" customFormat="false" ht="15" hidden="false" customHeight="false" outlineLevel="0" collapsed="false">
      <c r="A48" s="5" t="s">
        <v>57</v>
      </c>
      <c r="B48" s="24" t="n">
        <f aca="false">SUM(B44:B47)*$B$6</f>
        <v>5.89714</v>
      </c>
      <c r="C48" s="32" t="n">
        <f aca="false">B48/$B$49</f>
        <v>0.166666666666667</v>
      </c>
    </row>
    <row r="49" customFormat="false" ht="15" hidden="false" customHeight="false" outlineLevel="0" collapsed="false">
      <c r="A49" s="12" t="s">
        <v>122</v>
      </c>
      <c r="B49" s="27" t="n">
        <f aca="false">SUM(B44:B48)</f>
        <v>35.38284</v>
      </c>
      <c r="C49" s="32" t="n">
        <f aca="false">B49/$B$49</f>
        <v>1</v>
      </c>
    </row>
    <row r="50" customFormat="false" ht="15" hidden="false" customHeight="false" outlineLevel="0" collapsed="false">
      <c r="A50" s="5" t="s">
        <v>123</v>
      </c>
      <c r="B50" s="22" t="n">
        <f aca="false">B49*10/$B$7</f>
        <v>4.02077727272727</v>
      </c>
    </row>
    <row r="51" customFormat="false" ht="15" hidden="false" customHeight="false" outlineLevel="0" collapsed="false">
      <c r="A51" s="5" t="s">
        <v>124</v>
      </c>
      <c r="B51" s="22" t="n">
        <f aca="false">H23/$B$8</f>
        <v>33.5</v>
      </c>
    </row>
    <row r="53" customFormat="false" ht="15" hidden="false" customHeight="false" outlineLevel="0" collapsed="false">
      <c r="A53" s="3" t="s">
        <v>125</v>
      </c>
    </row>
    <row r="54" customFormat="false" ht="15" hidden="false" customHeight="false" outlineLevel="0" collapsed="false">
      <c r="A54" s="5" t="s">
        <v>126</v>
      </c>
      <c r="B54" s="19" t="n">
        <v>60</v>
      </c>
    </row>
    <row r="55" customFormat="false" ht="15" hidden="false" customHeight="false" outlineLevel="0" collapsed="false">
      <c r="A55" s="5" t="s">
        <v>127</v>
      </c>
      <c r="B55" s="19" t="n">
        <v>60</v>
      </c>
    </row>
    <row r="56" customFormat="false" ht="15" hidden="false" customHeight="false" outlineLevel="0" collapsed="false">
      <c r="A56" s="5" t="s">
        <v>128</v>
      </c>
      <c r="B56" s="19" t="n">
        <v>20</v>
      </c>
    </row>
    <row r="57" customFormat="false" ht="15" hidden="false" customHeight="false" outlineLevel="0" collapsed="false">
      <c r="A57" s="5" t="s">
        <v>129</v>
      </c>
      <c r="B57" s="19" t="n">
        <v>30</v>
      </c>
    </row>
    <row r="58" customFormat="false" ht="15" hidden="false" customHeight="false" outlineLevel="0" collapsed="false">
      <c r="A58" s="5" t="s">
        <v>130</v>
      </c>
      <c r="B58" s="19" t="n">
        <v>10</v>
      </c>
    </row>
    <row r="59" customFormat="false" ht="15" hidden="false" customHeight="false" outlineLevel="0" collapsed="false">
      <c r="A59" s="5" t="s">
        <v>131</v>
      </c>
      <c r="B59" s="19" t="n">
        <v>20</v>
      </c>
    </row>
    <row r="60" customFormat="false" ht="15" hidden="false" customHeight="false" outlineLevel="0" collapsed="false">
      <c r="A60" s="12" t="s">
        <v>132</v>
      </c>
      <c r="B60" s="33" t="n">
        <f aca="false">SUM(B54:B59)</f>
        <v>200</v>
      </c>
    </row>
    <row r="61" customFormat="false" ht="15" hidden="false" customHeight="false" outlineLevel="0" collapsed="false">
      <c r="A61" s="5" t="s">
        <v>133</v>
      </c>
      <c r="B61" s="30" t="n">
        <f aca="false">2.94*B60^1.0997</f>
        <v>997.217787907167</v>
      </c>
    </row>
    <row r="62" customFormat="false" ht="15" hidden="false" customHeight="false" outlineLevel="0" collapsed="false">
      <c r="A62" s="5" t="s">
        <v>134</v>
      </c>
      <c r="B62" s="24" t="n">
        <f aca="false">B61/12*I23/H23/100</f>
        <v>20.6417467053414</v>
      </c>
    </row>
    <row r="63" customFormat="false" ht="15" hidden="false" customHeight="false" outlineLevel="0" collapsed="false">
      <c r="A63" s="5" t="s">
        <v>135</v>
      </c>
      <c r="B63" s="32" t="n">
        <f aca="false">B62/J23-1</f>
        <v>-0.173119578849779</v>
      </c>
      <c r="C63" s="7" t="s">
        <v>136</v>
      </c>
    </row>
    <row r="65" customFormat="false" ht="15" hidden="false" customHeight="false" outlineLevel="0" collapsed="false">
      <c r="A65" s="3" t="s">
        <v>137</v>
      </c>
    </row>
    <row r="66" customFormat="false" ht="15" hidden="false" customHeight="false" outlineLevel="0" collapsed="false">
      <c r="A66" s="5" t="s">
        <v>138</v>
      </c>
      <c r="B66" s="20" t="n">
        <v>206.114</v>
      </c>
    </row>
    <row r="67" customFormat="false" ht="15" hidden="false" customHeight="false" outlineLevel="0" collapsed="false">
      <c r="A67" s="5" t="s">
        <v>139</v>
      </c>
      <c r="B67" s="30" t="n">
        <f aca="false">B66*$B$7/10</f>
        <v>1813.8032</v>
      </c>
    </row>
    <row r="68" customFormat="false" ht="15" hidden="false" customHeight="false" outlineLevel="0" collapsed="false">
      <c r="A68" s="12" t="s">
        <v>140</v>
      </c>
      <c r="B68" s="34" t="n">
        <f aca="false">B49/B67</f>
        <v>0.0195075408401529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18.55" hidden="false" customHeight="false" outlineLevel="0" collapsed="false">
      <c r="A1" s="1" t="s">
        <v>141</v>
      </c>
    </row>
    <row r="2" customFormat="false" ht="15" hidden="false" customHeight="false" outlineLevel="0" collapsed="false">
      <c r="A2" s="2" t="s">
        <v>142</v>
      </c>
    </row>
    <row r="4" customFormat="false" ht="15" hidden="false" customHeight="false" outlineLevel="0" collapsed="false">
      <c r="A4" s="3" t="s">
        <v>143</v>
      </c>
    </row>
    <row r="5" customFormat="false" ht="15" hidden="false" customHeight="false" outlineLevel="0" collapsed="false">
      <c r="A5" s="4" t="s">
        <v>144</v>
      </c>
      <c r="B5" s="4" t="s">
        <v>145</v>
      </c>
      <c r="C5" s="4" t="s">
        <v>146</v>
      </c>
    </row>
    <row r="6" customFormat="false" ht="15" hidden="false" customHeight="false" outlineLevel="0" collapsed="false">
      <c r="A6" s="5" t="s">
        <v>147</v>
      </c>
      <c r="B6" s="28" t="n">
        <v>4131303</v>
      </c>
      <c r="C6" s="5"/>
    </row>
    <row r="7" customFormat="false" ht="15" hidden="false" customHeight="false" outlineLevel="0" collapsed="false">
      <c r="A7" s="5" t="s">
        <v>148</v>
      </c>
      <c r="B7" s="28" t="n">
        <v>605023</v>
      </c>
      <c r="C7" s="5"/>
    </row>
    <row r="8" customFormat="false" ht="15" hidden="false" customHeight="false" outlineLevel="0" collapsed="false">
      <c r="A8" s="5" t="s">
        <v>149</v>
      </c>
      <c r="B8" s="28" t="n">
        <v>574940</v>
      </c>
      <c r="C8" s="5"/>
    </row>
    <row r="9" customFormat="false" ht="15" hidden="false" customHeight="false" outlineLevel="0" collapsed="false">
      <c r="A9" s="5" t="s">
        <v>150</v>
      </c>
      <c r="B9" s="28" t="n">
        <v>375360</v>
      </c>
      <c r="C9" s="5"/>
    </row>
    <row r="10" customFormat="false" ht="23.85" hidden="false" customHeight="false" outlineLevel="0" collapsed="false">
      <c r="A10" s="5" t="s">
        <v>151</v>
      </c>
      <c r="B10" s="28" t="n">
        <v>2610</v>
      </c>
      <c r="C10" s="35" t="s">
        <v>152</v>
      </c>
    </row>
    <row r="12" customFormat="false" ht="15" hidden="false" customHeight="false" outlineLevel="0" collapsed="false">
      <c r="A12" s="3" t="s">
        <v>153</v>
      </c>
    </row>
    <row r="13" customFormat="false" ht="23.85" hidden="false" customHeight="false" outlineLevel="0" collapsed="false">
      <c r="A13" s="5" t="s">
        <v>154</v>
      </c>
      <c r="B13" s="29" t="n">
        <v>50000</v>
      </c>
      <c r="C13" s="35" t="s">
        <v>155</v>
      </c>
    </row>
    <row r="14" customFormat="false" ht="15" hidden="false" customHeight="false" outlineLevel="0" collapsed="false">
      <c r="A14" s="5" t="s">
        <v>156</v>
      </c>
      <c r="B14" s="18" t="n">
        <v>0.05</v>
      </c>
      <c r="C14" s="35" t="s">
        <v>157</v>
      </c>
    </row>
    <row r="16" customFormat="false" ht="15" hidden="false" customHeight="false" outlineLevel="0" collapsed="false">
      <c r="A16" s="3" t="s">
        <v>158</v>
      </c>
    </row>
    <row r="17" customFormat="false" ht="15" hidden="false" customHeight="false" outlineLevel="0" collapsed="false">
      <c r="A17" s="4" t="s">
        <v>159</v>
      </c>
      <c r="B17" s="4" t="s">
        <v>4</v>
      </c>
      <c r="C17" s="4" t="s">
        <v>160</v>
      </c>
    </row>
    <row r="18" customFormat="false" ht="15" hidden="false" customHeight="false" outlineLevel="0" collapsed="false">
      <c r="A18" s="12" t="s">
        <v>24</v>
      </c>
      <c r="B18" s="25" t="n">
        <f aca="false">B6/100000</f>
        <v>41.31303</v>
      </c>
      <c r="C18" s="35" t="s">
        <v>161</v>
      </c>
    </row>
    <row r="19" customFormat="false" ht="23.85" hidden="false" customHeight="false" outlineLevel="0" collapsed="false">
      <c r="A19" s="12" t="s">
        <v>26</v>
      </c>
      <c r="B19" s="25" t="n">
        <f aca="false">SUM(B7:B9)/100000</f>
        <v>15.55323</v>
      </c>
      <c r="C19" s="35" t="s">
        <v>162</v>
      </c>
    </row>
    <row r="20" customFormat="false" ht="15" hidden="false" customHeight="false" outlineLevel="0" collapsed="false">
      <c r="A20" s="12" t="s">
        <v>28</v>
      </c>
      <c r="B20" s="33" t="n">
        <f aca="false">ROUNDDOWN(B10*B14,0)</f>
        <v>130</v>
      </c>
      <c r="C20" s="35" t="s">
        <v>163</v>
      </c>
    </row>
    <row r="21" customFormat="false" ht="15" hidden="false" customHeight="false" outlineLevel="0" collapsed="false">
      <c r="A21" s="5" t="s">
        <v>164</v>
      </c>
      <c r="B21" s="22" t="n">
        <f aca="false">B20*B13/100000</f>
        <v>65</v>
      </c>
    </row>
    <row r="23" customFormat="false" ht="15" hidden="false" customHeight="false" outlineLevel="0" collapsed="false">
      <c r="A23" s="3" t="s">
        <v>165</v>
      </c>
    </row>
    <row r="24" customFormat="false" ht="23.85" hidden="false" customHeight="false" outlineLevel="0" collapsed="false">
      <c r="A24" s="12" t="s">
        <v>166</v>
      </c>
      <c r="B24" s="6" t="n">
        <f aca="false">'Build cost'!B49*100/B21</f>
        <v>54.4351384615385</v>
      </c>
      <c r="C24" s="35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24"/>
    <col collapsed="false" customWidth="true" hidden="false" outlineLevel="0" max="7" min="7" style="0" width="54"/>
  </cols>
  <sheetData>
    <row r="1" customFormat="false" ht="18.55" hidden="false" customHeight="false" outlineLevel="0" collapsed="false">
      <c r="A1" s="1" t="s">
        <v>168</v>
      </c>
    </row>
    <row r="2" customFormat="false" ht="15" hidden="false" customHeight="false" outlineLevel="0" collapsed="false">
      <c r="A2" s="2" t="s">
        <v>169</v>
      </c>
    </row>
    <row r="4" customFormat="false" ht="15" hidden="false" customHeight="false" outlineLevel="0" collapsed="false">
      <c r="A4" s="3" t="s">
        <v>170</v>
      </c>
    </row>
    <row r="5" customFormat="false" ht="15" hidden="false" customHeight="false" outlineLevel="0" collapsed="false">
      <c r="A5" s="4" t="s">
        <v>171</v>
      </c>
      <c r="B5" s="4" t="s">
        <v>172</v>
      </c>
      <c r="C5" s="4" t="s">
        <v>173</v>
      </c>
      <c r="D5" s="4" t="s">
        <v>174</v>
      </c>
      <c r="E5" s="4" t="s">
        <v>175</v>
      </c>
      <c r="F5" s="4" t="s">
        <v>176</v>
      </c>
      <c r="G5" s="4" t="s">
        <v>146</v>
      </c>
    </row>
    <row r="6" customFormat="false" ht="15" hidden="false" customHeight="false" outlineLevel="0" collapsed="false">
      <c r="A6" s="5" t="s">
        <v>177</v>
      </c>
      <c r="B6" s="5" t="s">
        <v>178</v>
      </c>
      <c r="C6" s="36" t="n">
        <v>1206</v>
      </c>
      <c r="D6" s="5" t="s">
        <v>179</v>
      </c>
      <c r="E6" s="5" t="s">
        <v>180</v>
      </c>
      <c r="F6" s="5" t="s">
        <v>181</v>
      </c>
      <c r="G6" s="5" t="s">
        <v>182</v>
      </c>
    </row>
    <row r="7" customFormat="false" ht="15" hidden="false" customHeight="false" outlineLevel="0" collapsed="false">
      <c r="A7" s="5" t="s">
        <v>183</v>
      </c>
      <c r="B7" s="5" t="s">
        <v>184</v>
      </c>
      <c r="C7" s="36" t="n">
        <v>6.99</v>
      </c>
      <c r="D7" s="5" t="s">
        <v>185</v>
      </c>
      <c r="E7" s="5" t="s">
        <v>186</v>
      </c>
      <c r="F7" s="5" t="s">
        <v>187</v>
      </c>
      <c r="G7" s="5" t="s">
        <v>188</v>
      </c>
    </row>
    <row r="8" customFormat="false" ht="23.85" hidden="false" customHeight="false" outlineLevel="0" collapsed="false">
      <c r="A8" s="5" t="s">
        <v>189</v>
      </c>
      <c r="B8" s="5" t="s">
        <v>190</v>
      </c>
      <c r="C8" s="36" t="n">
        <v>920</v>
      </c>
      <c r="D8" s="5" t="s">
        <v>179</v>
      </c>
      <c r="E8" s="5" t="s">
        <v>186</v>
      </c>
      <c r="F8" s="5" t="s">
        <v>191</v>
      </c>
      <c r="G8" s="5" t="s">
        <v>192</v>
      </c>
    </row>
    <row r="9" customFormat="false" ht="46.25" hidden="false" customHeight="false" outlineLevel="0" collapsed="false">
      <c r="A9" s="5" t="s">
        <v>193</v>
      </c>
      <c r="B9" s="5" t="s">
        <v>194</v>
      </c>
      <c r="C9" s="36" t="n">
        <v>52</v>
      </c>
      <c r="D9" s="5" t="s">
        <v>185</v>
      </c>
      <c r="E9" s="5" t="s">
        <v>186</v>
      </c>
      <c r="F9" s="5" t="s">
        <v>195</v>
      </c>
      <c r="G9" s="5" t="s">
        <v>196</v>
      </c>
    </row>
    <row r="10" customFormat="false" ht="35.05" hidden="false" customHeight="false" outlineLevel="0" collapsed="false">
      <c r="A10" s="5" t="s">
        <v>197</v>
      </c>
      <c r="G10" s="5" t="s">
        <v>198</v>
      </c>
    </row>
    <row r="12" customFormat="false" ht="15" hidden="false" customHeight="false" outlineLevel="0" collapsed="false">
      <c r="A12" s="3" t="s">
        <v>199</v>
      </c>
    </row>
    <row r="13" customFormat="false" ht="15" hidden="false" customHeight="false" outlineLevel="0" collapsed="false">
      <c r="A13" s="4" t="s">
        <v>200</v>
      </c>
      <c r="B13" s="4" t="s">
        <v>201</v>
      </c>
      <c r="C13" s="4" t="s">
        <v>202</v>
      </c>
      <c r="D13" s="4" t="s">
        <v>203</v>
      </c>
      <c r="E13" s="4" t="s">
        <v>204</v>
      </c>
      <c r="F13" s="4" t="s">
        <v>205</v>
      </c>
      <c r="G13" s="4" t="s">
        <v>146</v>
      </c>
    </row>
    <row r="14" customFormat="false" ht="15" hidden="false" customHeight="false" outlineLevel="0" collapsed="false">
      <c r="A14" s="37" t="n">
        <v>1</v>
      </c>
      <c r="B14" s="37" t="n">
        <f aca="false">A14*$B$18</f>
        <v>70</v>
      </c>
      <c r="C14" s="30" t="n">
        <f aca="false">A14*$C$6</f>
        <v>1206</v>
      </c>
      <c r="D14" s="9" t="n">
        <f aca="false">$C$9*'Build cost'!$B$7</f>
        <v>4576</v>
      </c>
      <c r="E14" s="30" t="n">
        <f aca="false">C14+D14</f>
        <v>5782</v>
      </c>
      <c r="F14" s="32" t="n">
        <f aca="false">1-E14/$E$17</f>
        <v>0.384893617021277</v>
      </c>
      <c r="G14" s="5" t="s">
        <v>206</v>
      </c>
    </row>
    <row r="15" customFormat="false" ht="15" hidden="false" customHeight="false" outlineLevel="0" collapsed="false">
      <c r="A15" s="38" t="n">
        <v>2</v>
      </c>
      <c r="B15" s="39" t="n">
        <f aca="false">A15*$B$18</f>
        <v>140</v>
      </c>
      <c r="C15" s="40" t="n">
        <f aca="false">A15*$C$6</f>
        <v>2412</v>
      </c>
      <c r="D15" s="41" t="n">
        <f aca="false">$C$9*'Build cost'!$B$7</f>
        <v>4576</v>
      </c>
      <c r="E15" s="40" t="n">
        <f aca="false">C15+D15</f>
        <v>6988</v>
      </c>
      <c r="F15" s="42" t="n">
        <f aca="false">1-E15/$E$17</f>
        <v>0.256595744680851</v>
      </c>
      <c r="G15" s="43" t="s">
        <v>207</v>
      </c>
    </row>
    <row r="16" customFormat="false" ht="15" hidden="false" customHeight="false" outlineLevel="0" collapsed="false">
      <c r="A16" s="37" t="n">
        <v>3</v>
      </c>
      <c r="B16" s="37" t="n">
        <f aca="false">A16*$B$18</f>
        <v>210</v>
      </c>
      <c r="C16" s="30" t="n">
        <f aca="false">A16*$C$6</f>
        <v>3618</v>
      </c>
      <c r="D16" s="9" t="n">
        <f aca="false">$C$9*'Build cost'!$B$7</f>
        <v>4576</v>
      </c>
      <c r="E16" s="30" t="n">
        <f aca="false">C16+D16</f>
        <v>8194</v>
      </c>
      <c r="F16" s="32" t="n">
        <f aca="false">1-E16/$E$17</f>
        <v>0.128297872340426</v>
      </c>
      <c r="G16" s="5"/>
    </row>
    <row r="17" customFormat="false" ht="15" hidden="false" customHeight="false" outlineLevel="0" collapsed="false">
      <c r="A17" s="37" t="n">
        <v>4</v>
      </c>
      <c r="B17" s="37" t="n">
        <f aca="false">A17*$B$18</f>
        <v>280</v>
      </c>
      <c r="C17" s="30" t="n">
        <f aca="false">A17*$C$6</f>
        <v>4824</v>
      </c>
      <c r="D17" s="9" t="n">
        <f aca="false">$C$9*'Build cost'!$B$7</f>
        <v>4576</v>
      </c>
      <c r="E17" s="30" t="n">
        <f aca="false">C17+D17</f>
        <v>9400</v>
      </c>
      <c r="F17" s="32" t="n">
        <f aca="false">1-E17/$E$17</f>
        <v>0</v>
      </c>
      <c r="G17" s="5" t="s">
        <v>208</v>
      </c>
    </row>
    <row r="18" customFormat="false" ht="15" hidden="false" customHeight="false" outlineLevel="0" collapsed="false">
      <c r="A18" s="5" t="s">
        <v>209</v>
      </c>
      <c r="B18" s="44" t="n">
        <v>70</v>
      </c>
    </row>
    <row r="19" customFormat="false" ht="15" hidden="false" customHeight="true" outlineLevel="0" collapsed="false">
      <c r="A19" s="13" t="s">
        <v>210</v>
      </c>
      <c r="B19" s="13"/>
      <c r="C19" s="13"/>
      <c r="D19" s="13"/>
      <c r="E19" s="13"/>
      <c r="F19" s="13"/>
      <c r="G19" s="13"/>
    </row>
  </sheetData>
  <mergeCells count="1">
    <mergeCell ref="A19:G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12" min="6" style="0" width="11"/>
  </cols>
  <sheetData>
    <row r="1" customFormat="false" ht="18.5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4" customFormat="false" ht="15" hidden="false" customHeight="false" outlineLevel="0" collapsed="false">
      <c r="A4" s="3" t="s">
        <v>213</v>
      </c>
    </row>
    <row r="5" customFormat="false" ht="15" hidden="false" customHeight="true" outlineLevel="0" collapsed="false">
      <c r="A5" s="13" t="s">
        <v>214</v>
      </c>
      <c r="B5" s="13"/>
      <c r="C5" s="44" t="n">
        <v>25</v>
      </c>
    </row>
    <row r="6" customFormat="false" ht="15" hidden="false" customHeight="true" outlineLevel="0" collapsed="false">
      <c r="A6" s="13" t="s">
        <v>215</v>
      </c>
      <c r="B6" s="13"/>
      <c r="C6" s="18" t="n">
        <v>0.9</v>
      </c>
    </row>
    <row r="7" customFormat="false" ht="15" hidden="false" customHeight="true" outlineLevel="0" collapsed="false">
      <c r="A7" s="13" t="s">
        <v>216</v>
      </c>
      <c r="B7" s="13"/>
      <c r="C7" s="45" t="n">
        <v>3.3</v>
      </c>
    </row>
    <row r="8" customFormat="false" ht="15" hidden="false" customHeight="true" outlineLevel="0" collapsed="false">
      <c r="A8" s="13" t="s">
        <v>217</v>
      </c>
      <c r="B8" s="13"/>
      <c r="C8" s="46" t="n">
        <v>7.275</v>
      </c>
    </row>
    <row r="9" customFormat="false" ht="15" hidden="false" customHeight="true" outlineLevel="0" collapsed="false">
      <c r="A9" s="13" t="s">
        <v>218</v>
      </c>
      <c r="B9" s="13"/>
      <c r="C9" s="24" t="n">
        <f aca="false">$C$5/$C$6/$C$7</f>
        <v>8.41750841750842</v>
      </c>
      <c r="D9" s="7" t="s">
        <v>219</v>
      </c>
    </row>
    <row r="11" customFormat="false" ht="15" hidden="false" customHeight="false" outlineLevel="0" collapsed="false">
      <c r="A11" s="3" t="s">
        <v>220</v>
      </c>
    </row>
    <row r="12" customFormat="false" ht="35.05" hidden="false" customHeight="false" outlineLevel="0" collapsed="false">
      <c r="A12" s="4" t="s">
        <v>200</v>
      </c>
      <c r="B12" s="4" t="s">
        <v>221</v>
      </c>
      <c r="C12" s="4" t="s">
        <v>222</v>
      </c>
      <c r="D12" s="4" t="s">
        <v>223</v>
      </c>
      <c r="E12" s="4" t="s">
        <v>224</v>
      </c>
      <c r="F12" s="4" t="s">
        <v>225</v>
      </c>
      <c r="G12" s="4" t="s">
        <v>226</v>
      </c>
      <c r="H12" s="4" t="s">
        <v>227</v>
      </c>
      <c r="I12" s="4" t="s">
        <v>228</v>
      </c>
      <c r="J12" s="4" t="s">
        <v>229</v>
      </c>
      <c r="K12" s="4" t="s">
        <v>230</v>
      </c>
      <c r="L12" s="4" t="s">
        <v>231</v>
      </c>
    </row>
    <row r="13" customFormat="false" ht="15" hidden="false" customHeight="false" outlineLevel="0" collapsed="false">
      <c r="A13" s="37" t="n">
        <v>1</v>
      </c>
      <c r="B13" s="5" t="s">
        <v>232</v>
      </c>
      <c r="C13" s="5" t="s">
        <v>233</v>
      </c>
      <c r="D13" s="37" t="n">
        <v>0</v>
      </c>
      <c r="E13" s="37" t="n">
        <v>15</v>
      </c>
    </row>
    <row r="14" customFormat="false" ht="15" hidden="false" customHeight="false" outlineLevel="0" collapsed="false">
      <c r="A14" s="37" t="n">
        <v>2</v>
      </c>
      <c r="B14" s="5" t="s">
        <v>232</v>
      </c>
      <c r="C14" s="5" t="s">
        <v>234</v>
      </c>
      <c r="D14" s="37" t="n">
        <v>33</v>
      </c>
      <c r="E14" s="37" t="n">
        <v>33</v>
      </c>
      <c r="F14" s="24" t="n">
        <v>3.52777950974121</v>
      </c>
      <c r="G14" s="24" t="n">
        <v>4.37389078950888</v>
      </c>
      <c r="H14" s="24" t="n">
        <v>3.49897230357032</v>
      </c>
      <c r="I14" s="24" t="n">
        <v>5.48535903771693</v>
      </c>
      <c r="J14" s="22" t="n">
        <v>31.7764113530531</v>
      </c>
      <c r="K14" s="24" t="n">
        <f aca="false">$C$8-I14</f>
        <v>1.78964096228307</v>
      </c>
      <c r="L14" s="47" t="s">
        <v>235</v>
      </c>
    </row>
    <row r="15" customFormat="false" ht="15" hidden="false" customHeight="false" outlineLevel="0" collapsed="false">
      <c r="A15" s="37" t="n">
        <v>2</v>
      </c>
      <c r="B15" s="5" t="s">
        <v>236</v>
      </c>
      <c r="C15" s="5" t="s">
        <v>234</v>
      </c>
      <c r="D15" s="37" t="n">
        <v>33</v>
      </c>
      <c r="E15" s="37" t="n">
        <v>33</v>
      </c>
      <c r="F15" s="24" t="n">
        <v>3.5266151643538</v>
      </c>
      <c r="G15" s="24" t="n">
        <v>4.20875420875423</v>
      </c>
      <c r="H15" s="24" t="n">
        <v>3.49833934566044</v>
      </c>
      <c r="I15" s="24" t="n">
        <v>5.34538492126309</v>
      </c>
      <c r="J15" s="22" t="n">
        <v>31.5377694013431</v>
      </c>
      <c r="K15" s="24" t="n">
        <f aca="false">$C$8-I15</f>
        <v>1.92961507873691</v>
      </c>
      <c r="L15" s="47" t="s">
        <v>237</v>
      </c>
    </row>
    <row r="16" customFormat="false" ht="15" hidden="false" customHeight="false" outlineLevel="0" collapsed="false">
      <c r="A16" s="39" t="n">
        <v>2</v>
      </c>
      <c r="B16" s="43" t="s">
        <v>238</v>
      </c>
      <c r="C16" s="43" t="s">
        <v>234</v>
      </c>
      <c r="D16" s="39" t="n">
        <v>33</v>
      </c>
      <c r="E16" s="39" t="n">
        <v>33</v>
      </c>
      <c r="F16" s="48" t="n">
        <v>3.5249590416924</v>
      </c>
      <c r="G16" s="48" t="n">
        <v>4.20875420875423</v>
      </c>
      <c r="H16" s="48" t="n">
        <v>3.49668432382133</v>
      </c>
      <c r="I16" s="48" t="n">
        <v>5.32842550437264</v>
      </c>
      <c r="J16" s="49" t="n">
        <v>31.5732019177938</v>
      </c>
      <c r="K16" s="48" t="n">
        <f aca="false">$C$8-I16</f>
        <v>1.94657449562736</v>
      </c>
      <c r="L16" s="50" t="s">
        <v>237</v>
      </c>
    </row>
    <row r="17" customFormat="false" ht="15" hidden="false" customHeight="false" outlineLevel="0" collapsed="false">
      <c r="A17" s="37" t="n">
        <v>2</v>
      </c>
      <c r="B17" s="5" t="s">
        <v>239</v>
      </c>
      <c r="C17" s="5" t="s">
        <v>234</v>
      </c>
      <c r="D17" s="37" t="n">
        <v>33</v>
      </c>
      <c r="E17" s="37" t="n">
        <v>33</v>
      </c>
      <c r="F17" s="24" t="n">
        <v>3.52937312995314</v>
      </c>
      <c r="G17" s="24" t="n">
        <v>4.30939045455207</v>
      </c>
      <c r="H17" s="24" t="n">
        <v>3.50077776375143</v>
      </c>
      <c r="I17" s="24" t="n">
        <v>5.4409464106258</v>
      </c>
      <c r="J17" s="22" t="n">
        <v>31.6606708595837</v>
      </c>
      <c r="K17" s="24" t="n">
        <f aca="false">$C$8-I17</f>
        <v>1.83405358937421</v>
      </c>
      <c r="L17" s="47" t="s">
        <v>235</v>
      </c>
    </row>
    <row r="18" customFormat="false" ht="15" hidden="false" customHeight="false" outlineLevel="0" collapsed="false">
      <c r="A18" s="37" t="n">
        <v>3</v>
      </c>
      <c r="B18" s="5" t="s">
        <v>232</v>
      </c>
      <c r="C18" s="5" t="s">
        <v>234</v>
      </c>
      <c r="D18" s="37" t="n">
        <v>42</v>
      </c>
      <c r="E18" s="37" t="n">
        <v>42</v>
      </c>
      <c r="F18" s="24" t="n">
        <v>3.6315290653286</v>
      </c>
      <c r="G18" s="24" t="n">
        <v>3.16082314419264</v>
      </c>
      <c r="H18" s="24" t="n">
        <v>3.61557077653522</v>
      </c>
      <c r="I18" s="24" t="n">
        <v>3.85548037836337</v>
      </c>
      <c r="J18" s="22" t="n">
        <v>27.6945959861041</v>
      </c>
      <c r="K18" s="24" t="n">
        <f aca="false">$C$8-I18</f>
        <v>3.41951962163663</v>
      </c>
      <c r="L18" s="47" t="s">
        <v>240</v>
      </c>
    </row>
    <row r="19" customFormat="false" ht="15" hidden="false" customHeight="false" outlineLevel="0" collapsed="false">
      <c r="A19" s="37" t="n">
        <v>3</v>
      </c>
      <c r="B19" s="5" t="s">
        <v>236</v>
      </c>
      <c r="C19" s="5" t="s">
        <v>234</v>
      </c>
      <c r="D19" s="37" t="n">
        <v>42</v>
      </c>
      <c r="E19" s="37" t="n">
        <v>42</v>
      </c>
      <c r="F19" s="24" t="n">
        <v>3.62955346503662</v>
      </c>
      <c r="G19" s="24" t="n">
        <v>2.82837942816701</v>
      </c>
      <c r="H19" s="24" t="n">
        <v>3.6137738422387</v>
      </c>
      <c r="I19" s="24" t="n">
        <v>3.53096230623505</v>
      </c>
      <c r="J19" s="22" t="n">
        <v>27.3225779346497</v>
      </c>
      <c r="K19" s="24" t="n">
        <f aca="false">$C$8-I19</f>
        <v>3.74403769376495</v>
      </c>
      <c r="L19" s="47" t="s">
        <v>240</v>
      </c>
    </row>
    <row r="20" customFormat="false" ht="15" hidden="false" customHeight="false" outlineLevel="0" collapsed="false">
      <c r="A20" s="37" t="n">
        <v>3</v>
      </c>
      <c r="B20" s="5" t="s">
        <v>238</v>
      </c>
      <c r="C20" s="5" t="s">
        <v>234</v>
      </c>
      <c r="D20" s="37" t="n">
        <v>42</v>
      </c>
      <c r="E20" s="37" t="n">
        <v>42</v>
      </c>
      <c r="F20" s="24" t="n">
        <v>3.62586521820958</v>
      </c>
      <c r="G20" s="24" t="n">
        <v>2.84301947111622</v>
      </c>
      <c r="H20" s="24" t="n">
        <v>3.61009168243776</v>
      </c>
      <c r="I20" s="24" t="n">
        <v>3.53767670528696</v>
      </c>
      <c r="J20" s="22" t="n">
        <v>27.3800769082462</v>
      </c>
      <c r="K20" s="24" t="n">
        <f aca="false">$C$8-I20</f>
        <v>3.73732329471304</v>
      </c>
      <c r="L20" s="47" t="s">
        <v>240</v>
      </c>
    </row>
    <row r="21" customFormat="false" ht="15" hidden="false" customHeight="false" outlineLevel="0" collapsed="false">
      <c r="A21" s="37" t="n">
        <v>3</v>
      </c>
      <c r="B21" s="5" t="s">
        <v>239</v>
      </c>
      <c r="C21" s="5" t="s">
        <v>234</v>
      </c>
      <c r="D21" s="37" t="n">
        <v>42</v>
      </c>
      <c r="E21" s="37" t="n">
        <v>42</v>
      </c>
      <c r="F21" s="24" t="n">
        <v>3.63504748066781</v>
      </c>
      <c r="G21" s="24" t="n">
        <v>3.02495164761283</v>
      </c>
      <c r="H21" s="24" t="n">
        <v>3.61919942685388</v>
      </c>
      <c r="I21" s="24" t="n">
        <v>3.72753452568086</v>
      </c>
      <c r="J21" s="22" t="n">
        <v>27.5128820599838</v>
      </c>
      <c r="K21" s="24" t="n">
        <f aca="false">$C$8-I21</f>
        <v>3.54746547431914</v>
      </c>
      <c r="L21" s="47" t="s">
        <v>240</v>
      </c>
    </row>
    <row r="22" customFormat="false" ht="15" hidden="false" customHeight="false" outlineLevel="0" collapsed="false">
      <c r="A22" s="37" t="n">
        <v>4</v>
      </c>
      <c r="B22" s="5" t="s">
        <v>232</v>
      </c>
      <c r="C22" s="5" t="s">
        <v>234</v>
      </c>
      <c r="D22" s="37" t="n">
        <v>51</v>
      </c>
      <c r="E22" s="37" t="n">
        <v>51</v>
      </c>
      <c r="F22" s="24" t="n">
        <v>3.68917633078327</v>
      </c>
      <c r="G22" s="24" t="n">
        <v>2.64094781214917</v>
      </c>
      <c r="H22" s="24" t="n">
        <v>3.66383276158828</v>
      </c>
      <c r="I22" s="24" t="n">
        <v>3.34050131378193</v>
      </c>
      <c r="J22" s="22" t="n">
        <v>26.1183072087238</v>
      </c>
      <c r="K22" s="24" t="n">
        <f aca="false">$C$8-I22</f>
        <v>3.93449868621807</v>
      </c>
      <c r="L22" s="47" t="s">
        <v>241</v>
      </c>
    </row>
    <row r="23" customFormat="false" ht="15" hidden="false" customHeight="false" outlineLevel="0" collapsed="false">
      <c r="A23" s="37" t="n">
        <v>4</v>
      </c>
      <c r="B23" s="5" t="s">
        <v>236</v>
      </c>
      <c r="C23" s="5" t="s">
        <v>234</v>
      </c>
      <c r="D23" s="37" t="n">
        <v>51</v>
      </c>
      <c r="E23" s="37" t="n">
        <v>51</v>
      </c>
      <c r="F23" s="24" t="n">
        <v>3.68640137133174</v>
      </c>
      <c r="G23" s="24" t="n">
        <v>2.15469522727604</v>
      </c>
      <c r="H23" s="24" t="n">
        <v>3.66093985788504</v>
      </c>
      <c r="I23" s="24" t="n">
        <v>2.8785010359952</v>
      </c>
      <c r="J23" s="22" t="n">
        <v>25.8901828996505</v>
      </c>
      <c r="K23" s="24" t="n">
        <f aca="false">$C$8-I23</f>
        <v>4.3964989640048</v>
      </c>
      <c r="L23" s="47" t="s">
        <v>241</v>
      </c>
    </row>
    <row r="24" customFormat="false" ht="15" hidden="false" customHeight="false" outlineLevel="0" collapsed="false">
      <c r="A24" s="37" t="n">
        <v>4</v>
      </c>
      <c r="B24" s="5" t="s">
        <v>238</v>
      </c>
      <c r="C24" s="5" t="s">
        <v>234</v>
      </c>
      <c r="D24" s="37" t="n">
        <v>51</v>
      </c>
      <c r="E24" s="37" t="n">
        <v>51</v>
      </c>
      <c r="F24" s="24" t="n">
        <v>3.68056679583419</v>
      </c>
      <c r="G24" s="24" t="n">
        <v>2.18694539475445</v>
      </c>
      <c r="H24" s="24" t="n">
        <v>3.65511907041085</v>
      </c>
      <c r="I24" s="24" t="n">
        <v>2.88649889638721</v>
      </c>
      <c r="J24" s="22" t="n">
        <v>25.9228267735937</v>
      </c>
      <c r="K24" s="24" t="n">
        <f aca="false">$C$8-I24</f>
        <v>4.38850110361279</v>
      </c>
      <c r="L24" s="47" t="s">
        <v>241</v>
      </c>
    </row>
    <row r="25" customFormat="false" ht="15" hidden="false" customHeight="false" outlineLevel="0" collapsed="false">
      <c r="A25" s="37" t="n">
        <v>4</v>
      </c>
      <c r="B25" s="5" t="s">
        <v>239</v>
      </c>
      <c r="C25" s="5" t="s">
        <v>234</v>
      </c>
      <c r="D25" s="37" t="n">
        <v>51</v>
      </c>
      <c r="E25" s="37" t="n">
        <v>51</v>
      </c>
      <c r="F25" s="24" t="n">
        <v>3.69468404352306</v>
      </c>
      <c r="G25" s="24" t="n">
        <v>2.44068447077869</v>
      </c>
      <c r="H25" s="24" t="n">
        <v>3.66926171744435</v>
      </c>
      <c r="I25" s="24" t="n">
        <v>3.16449027949786</v>
      </c>
      <c r="J25" s="22" t="n">
        <v>26.0075798033673</v>
      </c>
      <c r="K25" s="24" t="n">
        <f aca="false">$C$8-I25</f>
        <v>4.11050972050215</v>
      </c>
      <c r="L25" s="47" t="s">
        <v>241</v>
      </c>
    </row>
    <row r="27" customFormat="false" ht="15" hidden="false" customHeight="false" outlineLevel="0" collapsed="false">
      <c r="A27" s="3" t="s">
        <v>242</v>
      </c>
    </row>
    <row r="28" customFormat="false" ht="15" hidden="false" customHeight="true" outlineLevel="0" collapsed="false">
      <c r="A28" s="13" t="s">
        <v>243</v>
      </c>
      <c r="B28" s="13"/>
      <c r="C28" s="13"/>
      <c r="D28" s="13"/>
      <c r="E28" s="13"/>
      <c r="F28" s="13"/>
      <c r="G28" s="13"/>
      <c r="H28" s="13"/>
      <c r="I28" s="30" t="n">
        <v>4006</v>
      </c>
    </row>
    <row r="29" customFormat="false" ht="15" hidden="false" customHeight="true" outlineLevel="0" collapsed="false">
      <c r="A29" s="13" t="s">
        <v>244</v>
      </c>
      <c r="B29" s="13"/>
      <c r="C29" s="13"/>
      <c r="D29" s="13"/>
      <c r="E29" s="13"/>
      <c r="F29" s="13"/>
      <c r="G29" s="13"/>
      <c r="H29" s="13"/>
      <c r="I29" s="37" t="n">
        <v>42</v>
      </c>
    </row>
    <row r="30" customFormat="false" ht="15" hidden="false" customHeight="true" outlineLevel="0" collapsed="false">
      <c r="A30" s="13" t="s">
        <v>245</v>
      </c>
      <c r="B30" s="13"/>
      <c r="C30" s="13"/>
      <c r="D30" s="13"/>
      <c r="E30" s="13"/>
      <c r="F30" s="13"/>
      <c r="G30" s="13"/>
      <c r="H30" s="13"/>
      <c r="I30" s="30" t="n">
        <f aca="false">4006-42</f>
        <v>3964</v>
      </c>
    </row>
    <row r="31" customFormat="false" ht="15" hidden="false" customHeight="true" outlineLevel="0" collapsed="false">
      <c r="A31" s="13" t="s">
        <v>246</v>
      </c>
      <c r="B31" s="13"/>
      <c r="C31" s="13"/>
      <c r="D31" s="13"/>
      <c r="E31" s="13"/>
      <c r="F31" s="13"/>
      <c r="G31" s="13"/>
      <c r="H31" s="13"/>
      <c r="I31" s="51" t="n">
        <v>9.50005587174729E-006</v>
      </c>
    </row>
    <row r="32" customFormat="false" ht="15" hidden="false" customHeight="true" outlineLevel="0" collapsed="false">
      <c r="A32" s="13" t="s">
        <v>247</v>
      </c>
      <c r="B32" s="13"/>
      <c r="C32" s="13"/>
      <c r="D32" s="13"/>
      <c r="E32" s="13"/>
      <c r="F32" s="13"/>
      <c r="G32" s="13"/>
      <c r="H32" s="13"/>
      <c r="I32" s="52" t="n">
        <v>0.000968810555601607</v>
      </c>
    </row>
    <row r="34" customFormat="false" ht="15" hidden="false" customHeight="false" outlineLevel="0" collapsed="false">
      <c r="A34" s="3" t="s">
        <v>248</v>
      </c>
    </row>
    <row r="35" customFormat="false" ht="15" hidden="false" customHeight="true" outlineLevel="0" collapsed="false">
      <c r="A35" s="13" t="s">
        <v>249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</row>
    <row r="36" customFormat="false" ht="15" hidden="false" customHeight="true" outlineLevel="0" collapsed="false">
      <c r="A36" s="13" t="s">
        <v>250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</row>
    <row r="37" customFormat="false" ht="15" hidden="false" customHeight="true" outlineLevel="0" collapsed="false">
      <c r="A37" s="13" t="s">
        <v>251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</row>
    <row r="38" customFormat="false" ht="15" hidden="false" customHeight="true" outlineLevel="0" collapsed="false">
      <c r="A38" s="13" t="s">
        <v>252</v>
      </c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</row>
  </sheetData>
  <mergeCells count="14">
    <mergeCell ref="A5:B5"/>
    <mergeCell ref="A6:B6"/>
    <mergeCell ref="A7:B7"/>
    <mergeCell ref="A8:B8"/>
    <mergeCell ref="A9:B9"/>
    <mergeCell ref="A28:H28"/>
    <mergeCell ref="A29:H29"/>
    <mergeCell ref="A30:H30"/>
    <mergeCell ref="A31:H31"/>
    <mergeCell ref="A32:H32"/>
    <mergeCell ref="A35:L35"/>
    <mergeCell ref="A36:L36"/>
    <mergeCell ref="A37:L37"/>
    <mergeCell ref="A38:L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8" min="3" style="0" width="12"/>
    <col collapsed="false" customWidth="true" hidden="false" outlineLevel="0" max="10" min="9" style="0" width="11"/>
  </cols>
  <sheetData>
    <row r="1" customFormat="false" ht="18.55" hidden="false" customHeight="false" outlineLevel="0" collapsed="false">
      <c r="A1" s="1" t="s">
        <v>253</v>
      </c>
    </row>
    <row r="2" customFormat="false" ht="15" hidden="false" customHeight="false" outlineLevel="0" collapsed="false">
      <c r="A2" s="2" t="s">
        <v>254</v>
      </c>
    </row>
    <row r="4" customFormat="false" ht="15" hidden="false" customHeight="false" outlineLevel="0" collapsed="false">
      <c r="A4" s="3" t="s">
        <v>255</v>
      </c>
    </row>
    <row r="5" customFormat="false" ht="15" hidden="false" customHeight="true" outlineLevel="0" collapsed="false">
      <c r="A5" s="4" t="s">
        <v>256</v>
      </c>
      <c r="B5" s="4" t="s">
        <v>158</v>
      </c>
      <c r="C5" s="53" t="s">
        <v>5</v>
      </c>
      <c r="D5" s="53"/>
      <c r="E5" s="53"/>
      <c r="F5" s="53"/>
      <c r="G5" s="53"/>
      <c r="H5" s="53"/>
      <c r="I5" s="53"/>
      <c r="J5" s="53"/>
    </row>
    <row r="6" customFormat="false" ht="15" hidden="false" customHeight="true" outlineLevel="0" collapsed="false">
      <c r="A6" s="5" t="s">
        <v>257</v>
      </c>
      <c r="B6" s="5" t="s">
        <v>258</v>
      </c>
      <c r="C6" s="13" t="s">
        <v>259</v>
      </c>
      <c r="D6" s="13"/>
      <c r="E6" s="13"/>
      <c r="F6" s="13"/>
      <c r="G6" s="13"/>
      <c r="H6" s="13"/>
      <c r="I6" s="13"/>
      <c r="J6" s="13"/>
    </row>
    <row r="7" customFormat="false" ht="15" hidden="false" customHeight="true" outlineLevel="0" collapsed="false">
      <c r="A7" s="5" t="s">
        <v>260</v>
      </c>
      <c r="B7" s="5" t="s">
        <v>261</v>
      </c>
      <c r="C7" s="13" t="s">
        <v>262</v>
      </c>
      <c r="D7" s="13"/>
      <c r="E7" s="13"/>
      <c r="F7" s="13"/>
      <c r="G7" s="13"/>
      <c r="H7" s="13"/>
      <c r="I7" s="13"/>
      <c r="J7" s="13"/>
    </row>
    <row r="8" customFormat="false" ht="15" hidden="false" customHeight="true" outlineLevel="0" collapsed="false">
      <c r="A8" s="5" t="s">
        <v>263</v>
      </c>
      <c r="B8" s="5" t="s">
        <v>264</v>
      </c>
      <c r="C8" s="13" t="s">
        <v>265</v>
      </c>
      <c r="D8" s="13"/>
      <c r="E8" s="13"/>
      <c r="F8" s="13"/>
      <c r="G8" s="13"/>
      <c r="H8" s="13"/>
      <c r="I8" s="13"/>
      <c r="J8" s="13"/>
    </row>
    <row r="9" customFormat="false" ht="15" hidden="false" customHeight="true" outlineLevel="0" collapsed="false">
      <c r="A9" s="5" t="s">
        <v>266</v>
      </c>
      <c r="B9" s="5" t="s">
        <v>267</v>
      </c>
      <c r="C9" s="13" t="s">
        <v>268</v>
      </c>
      <c r="D9" s="13"/>
      <c r="E9" s="13"/>
      <c r="F9" s="13"/>
      <c r="G9" s="13"/>
      <c r="H9" s="13"/>
      <c r="I9" s="13"/>
      <c r="J9" s="13"/>
    </row>
    <row r="10" customFormat="false" ht="15" hidden="false" customHeight="true" outlineLevel="0" collapsed="false">
      <c r="A10" s="5" t="s">
        <v>269</v>
      </c>
      <c r="B10" s="5" t="s">
        <v>270</v>
      </c>
      <c r="C10" s="13" t="s">
        <v>271</v>
      </c>
      <c r="D10" s="13"/>
      <c r="E10" s="13"/>
      <c r="F10" s="13"/>
      <c r="G10" s="13"/>
      <c r="H10" s="13"/>
      <c r="I10" s="13"/>
      <c r="J10" s="13"/>
    </row>
    <row r="11" customFormat="false" ht="15" hidden="false" customHeight="true" outlineLevel="0" collapsed="false">
      <c r="A11" s="5" t="s">
        <v>272</v>
      </c>
      <c r="B11" s="5" t="s">
        <v>273</v>
      </c>
      <c r="C11" s="13" t="s">
        <v>274</v>
      </c>
      <c r="D11" s="13"/>
      <c r="E11" s="13"/>
      <c r="F11" s="13"/>
      <c r="G11" s="13"/>
      <c r="H11" s="13"/>
      <c r="I11" s="13"/>
      <c r="J11" s="13"/>
    </row>
    <row r="12" customFormat="false" ht="15" hidden="false" customHeight="true" outlineLevel="0" collapsed="false">
      <c r="A12" s="5" t="s">
        <v>275</v>
      </c>
      <c r="B12" s="5" t="s">
        <v>276</v>
      </c>
      <c r="C12" s="13" t="s">
        <v>277</v>
      </c>
      <c r="D12" s="13"/>
      <c r="E12" s="13"/>
      <c r="F12" s="13"/>
      <c r="G12" s="13"/>
      <c r="H12" s="13"/>
      <c r="I12" s="13"/>
      <c r="J12" s="13"/>
    </row>
    <row r="13" customFormat="false" ht="15" hidden="false" customHeight="true" outlineLevel="0" collapsed="false">
      <c r="A13" s="5" t="s">
        <v>278</v>
      </c>
      <c r="B13" s="5" t="s">
        <v>279</v>
      </c>
      <c r="C13" s="13" t="s">
        <v>280</v>
      </c>
      <c r="D13" s="13"/>
      <c r="E13" s="13"/>
      <c r="F13" s="13"/>
      <c r="G13" s="13"/>
      <c r="H13" s="13"/>
      <c r="I13" s="13"/>
      <c r="J13" s="13"/>
    </row>
    <row r="15" customFormat="false" ht="15" hidden="false" customHeight="false" outlineLevel="0" collapsed="false">
      <c r="A15" s="3" t="s">
        <v>281</v>
      </c>
    </row>
    <row r="16" customFormat="false" ht="27.75" hidden="false" customHeight="true" outlineLevel="0" collapsed="false">
      <c r="A16" s="13" t="s">
        <v>282</v>
      </c>
      <c r="B16" s="13"/>
      <c r="C16" s="13"/>
      <c r="D16" s="13"/>
      <c r="E16" s="13"/>
      <c r="F16" s="13"/>
      <c r="G16" s="13"/>
      <c r="H16" s="13"/>
      <c r="I16" s="13"/>
      <c r="J16" s="13"/>
    </row>
    <row r="17" customFormat="false" ht="23.85" hidden="false" customHeight="false" outlineLevel="0" collapsed="false">
      <c r="A17" s="4" t="s">
        <v>283</v>
      </c>
      <c r="B17" s="4" t="s">
        <v>284</v>
      </c>
      <c r="C17" s="4" t="s">
        <v>285</v>
      </c>
      <c r="D17" s="4" t="s">
        <v>286</v>
      </c>
      <c r="E17" s="4" t="s">
        <v>287</v>
      </c>
      <c r="F17" s="4" t="s">
        <v>288</v>
      </c>
      <c r="G17" s="4" t="s">
        <v>289</v>
      </c>
      <c r="H17" s="4" t="s">
        <v>290</v>
      </c>
      <c r="I17" s="4" t="s">
        <v>291</v>
      </c>
      <c r="J17" s="4" t="s">
        <v>292</v>
      </c>
    </row>
    <row r="18" customFormat="false" ht="15" hidden="false" customHeight="false" outlineLevel="0" collapsed="false">
      <c r="A18" s="5" t="s">
        <v>293</v>
      </c>
      <c r="B18" s="5" t="s">
        <v>294</v>
      </c>
      <c r="C18" s="22" t="n">
        <v>14.5610257874836</v>
      </c>
      <c r="D18" s="54" t="n">
        <v>0.180389649105501</v>
      </c>
      <c r="E18" s="24" t="n">
        <v>3.03017384353483</v>
      </c>
      <c r="F18" s="24" t="n">
        <v>5.33761537365797</v>
      </c>
      <c r="G18" s="24" t="n">
        <v>8.39682411288896</v>
      </c>
      <c r="H18" s="55" t="n">
        <f aca="false">G18-F18</f>
        <v>3.05920873923099</v>
      </c>
      <c r="I18" s="56" t="s">
        <v>295</v>
      </c>
      <c r="J18" s="56" t="s">
        <v>295</v>
      </c>
    </row>
    <row r="19" customFormat="false" ht="15" hidden="false" customHeight="false" outlineLevel="0" collapsed="false">
      <c r="A19" s="5" t="s">
        <v>296</v>
      </c>
      <c r="B19" s="5" t="s">
        <v>294</v>
      </c>
      <c r="C19" s="22" t="n">
        <v>16.1089494383413</v>
      </c>
      <c r="D19" s="54" t="n">
        <v>0.0802234571732305</v>
      </c>
      <c r="E19" s="24" t="n">
        <v>4.09235171152956</v>
      </c>
      <c r="F19" s="24" t="n">
        <v>5.10981750488281</v>
      </c>
      <c r="G19" s="24" t="n">
        <v>9.86131154024901</v>
      </c>
      <c r="H19" s="55" t="n">
        <f aca="false">G19-F19</f>
        <v>4.75149403536619</v>
      </c>
      <c r="I19" s="56" t="s">
        <v>295</v>
      </c>
      <c r="J19" s="56" t="s">
        <v>295</v>
      </c>
    </row>
    <row r="20" customFormat="false" ht="15" hidden="false" customHeight="false" outlineLevel="0" collapsed="false">
      <c r="A20" s="5" t="s">
        <v>297</v>
      </c>
      <c r="B20" s="5" t="s">
        <v>294</v>
      </c>
      <c r="C20" s="22" t="n">
        <v>14.5610257874836</v>
      </c>
      <c r="D20" s="54" t="n">
        <v>0.154935147845536</v>
      </c>
      <c r="E20" s="24" t="n">
        <v>3.32956708735821</v>
      </c>
      <c r="F20" s="24" t="n">
        <v>5.33761537365797</v>
      </c>
      <c r="G20" s="24" t="n">
        <v>9.04485923162991</v>
      </c>
      <c r="H20" s="55" t="n">
        <f aca="false">G20-F20</f>
        <v>3.70724385797194</v>
      </c>
      <c r="I20" s="56" t="s">
        <v>295</v>
      </c>
      <c r="J20" s="56" t="s">
        <v>295</v>
      </c>
    </row>
    <row r="21" customFormat="false" ht="15" hidden="false" customHeight="false" outlineLevel="0" collapsed="false">
      <c r="A21" s="5" t="s">
        <v>298</v>
      </c>
      <c r="B21" s="5" t="s">
        <v>299</v>
      </c>
      <c r="C21" s="22" t="n">
        <v>14.554388214364</v>
      </c>
      <c r="D21" s="54" t="n">
        <v>0.172918467073328</v>
      </c>
      <c r="E21" s="24" t="n">
        <v>3.25804688552848</v>
      </c>
      <c r="F21" s="24" t="n">
        <v>2.21429298502703</v>
      </c>
      <c r="G21" s="24" t="n">
        <v>5.8297424731429</v>
      </c>
      <c r="H21" s="55" t="n">
        <f aca="false">G21-F21</f>
        <v>3.61544948811587</v>
      </c>
      <c r="I21" s="56" t="s">
        <v>295</v>
      </c>
      <c r="J21" s="56" t="s">
        <v>295</v>
      </c>
    </row>
    <row r="22" customFormat="false" ht="15" hidden="false" customHeight="false" outlineLevel="0" collapsed="false">
      <c r="A22" s="5" t="s">
        <v>300</v>
      </c>
      <c r="B22" s="5" t="s">
        <v>299</v>
      </c>
      <c r="C22" s="22" t="n">
        <v>12.871096682301</v>
      </c>
      <c r="D22" s="54" t="n">
        <v>0.0520087683166525</v>
      </c>
      <c r="E22" s="24" t="n">
        <v>2.35568572956209</v>
      </c>
      <c r="F22" s="24" t="n">
        <v>3.0483614005696</v>
      </c>
      <c r="G22" s="24" t="n">
        <v>4.86371535216071</v>
      </c>
      <c r="H22" s="55" t="n">
        <f aca="false">G22-F22</f>
        <v>1.81535395159112</v>
      </c>
      <c r="I22" s="56" t="s">
        <v>295</v>
      </c>
      <c r="J22" s="56" t="s">
        <v>295</v>
      </c>
    </row>
    <row r="23" customFormat="false" ht="15" hidden="false" customHeight="false" outlineLevel="0" collapsed="false">
      <c r="A23" s="5" t="s">
        <v>301</v>
      </c>
      <c r="B23" s="5" t="s">
        <v>299</v>
      </c>
      <c r="C23" s="22" t="n">
        <v>14.554388214364</v>
      </c>
      <c r="D23" s="54" t="n">
        <v>0.185718294763102</v>
      </c>
      <c r="E23" s="24" t="n">
        <v>3.55052821717712</v>
      </c>
      <c r="F23" s="24" t="n">
        <v>2.19935774547927</v>
      </c>
      <c r="G23" s="24" t="n">
        <v>6.58308610270481</v>
      </c>
      <c r="H23" s="55" t="n">
        <f aca="false">G23-F23</f>
        <v>4.38372835722554</v>
      </c>
      <c r="I23" s="56" t="s">
        <v>295</v>
      </c>
      <c r="J23" s="56" t="s">
        <v>295</v>
      </c>
    </row>
    <row r="24" customFormat="false" ht="15" hidden="false" customHeight="false" outlineLevel="0" collapsed="false">
      <c r="A24" s="5" t="s">
        <v>302</v>
      </c>
      <c r="B24" s="5" t="s">
        <v>303</v>
      </c>
      <c r="C24" s="22" t="n">
        <v>2.4999939084507</v>
      </c>
      <c r="D24" s="54" t="n">
        <v>0.0679898281832401</v>
      </c>
      <c r="E24" s="24" t="n">
        <v>2.0894019505828</v>
      </c>
      <c r="F24" s="24" t="n">
        <v>6.473</v>
      </c>
      <c r="G24" s="24" t="n">
        <v>2.89865003734743</v>
      </c>
      <c r="H24" s="55" t="n">
        <f aca="false">G24-F24</f>
        <v>-3.57434996265257</v>
      </c>
      <c r="I24" s="56" t="s">
        <v>295</v>
      </c>
      <c r="J24" s="56" t="s">
        <v>295</v>
      </c>
    </row>
    <row r="25" customFormat="false" ht="15" hidden="false" customHeight="false" outlineLevel="0" collapsed="false">
      <c r="A25" s="5" t="s">
        <v>304</v>
      </c>
      <c r="B25" s="5" t="s">
        <v>303</v>
      </c>
      <c r="C25" s="22" t="n">
        <v>5.00001573863636</v>
      </c>
      <c r="D25" s="54" t="n">
        <v>0.0934511292201811</v>
      </c>
      <c r="E25" s="24" t="n">
        <v>4.24459369804256</v>
      </c>
      <c r="F25" s="24" t="n">
        <v>15.8462</v>
      </c>
      <c r="G25" s="24" t="n">
        <v>9.25478037762063</v>
      </c>
      <c r="H25" s="55" t="n">
        <f aca="false">G25-F25</f>
        <v>-6.59141962237937</v>
      </c>
      <c r="I25" s="56" t="s">
        <v>295</v>
      </c>
      <c r="J25" s="56" t="s">
        <v>295</v>
      </c>
    </row>
    <row r="26" customFormat="false" ht="15" hidden="false" customHeight="false" outlineLevel="0" collapsed="false">
      <c r="A26" s="5" t="s">
        <v>305</v>
      </c>
      <c r="B26" s="5" t="s">
        <v>303</v>
      </c>
      <c r="C26" s="22" t="n">
        <v>2.49997468309859</v>
      </c>
      <c r="D26" s="54" t="n">
        <v>0.0704727288793828</v>
      </c>
      <c r="E26" s="24" t="n">
        <v>1.39750266513812</v>
      </c>
      <c r="F26" s="24" t="n">
        <v>5.8234</v>
      </c>
      <c r="G26" s="24" t="n">
        <v>3.34147334344955</v>
      </c>
      <c r="H26" s="55" t="n">
        <f aca="false">G26-F26</f>
        <v>-2.48192665655045</v>
      </c>
      <c r="I26" s="56" t="s">
        <v>295</v>
      </c>
      <c r="J26" s="56" t="s">
        <v>295</v>
      </c>
    </row>
    <row r="27" customFormat="false" ht="15" hidden="false" customHeight="false" outlineLevel="0" collapsed="false">
      <c r="A27" s="5" t="s">
        <v>306</v>
      </c>
      <c r="B27" s="5" t="s">
        <v>303</v>
      </c>
      <c r="C27" s="22" t="n">
        <v>5.00003897727273</v>
      </c>
      <c r="D27" s="54" t="n">
        <v>0.0976914488142504</v>
      </c>
      <c r="E27" s="24" t="n">
        <v>3.0896831144881</v>
      </c>
      <c r="F27" s="24" t="n">
        <v>14.6949</v>
      </c>
      <c r="G27" s="24" t="n">
        <v>9.76342624689893</v>
      </c>
      <c r="H27" s="55" t="n">
        <f aca="false">G27-F27</f>
        <v>-4.93147375310107</v>
      </c>
      <c r="I27" s="56" t="s">
        <v>295</v>
      </c>
      <c r="J27" s="56" t="s">
        <v>295</v>
      </c>
    </row>
    <row r="28" customFormat="false" ht="15" hidden="false" customHeight="false" outlineLevel="0" collapsed="false">
      <c r="A28" s="5" t="s">
        <v>307</v>
      </c>
      <c r="B28" s="5" t="s">
        <v>303</v>
      </c>
      <c r="C28" s="22" t="n">
        <v>2.49998323943662</v>
      </c>
      <c r="D28" s="54" t="n">
        <v>0.0707348376443114</v>
      </c>
      <c r="E28" s="24" t="n">
        <v>2.33571411735071</v>
      </c>
      <c r="F28" s="24" t="n">
        <v>7.5322</v>
      </c>
      <c r="G28" s="24" t="n">
        <v>3.32084254288629</v>
      </c>
      <c r="H28" s="55" t="n">
        <f aca="false">G28-F28</f>
        <v>-4.21135745711371</v>
      </c>
      <c r="I28" s="56" t="s">
        <v>295</v>
      </c>
      <c r="J28" s="56" t="s">
        <v>295</v>
      </c>
    </row>
    <row r="29" customFormat="false" ht="15" hidden="false" customHeight="false" outlineLevel="0" collapsed="false">
      <c r="A29" s="5" t="s">
        <v>308</v>
      </c>
      <c r="B29" s="5" t="s">
        <v>303</v>
      </c>
      <c r="C29" s="22" t="n">
        <v>5.00003983050848</v>
      </c>
      <c r="D29" s="54" t="n">
        <v>0.0987113654453513</v>
      </c>
      <c r="E29" s="24" t="n">
        <v>5.42597861068479</v>
      </c>
      <c r="F29" s="24" t="n">
        <v>18.1722</v>
      </c>
      <c r="G29" s="24" t="n">
        <v>9.64994419208216</v>
      </c>
      <c r="H29" s="55" t="n">
        <f aca="false">G29-F29</f>
        <v>-8.52225580791784</v>
      </c>
      <c r="I29" s="56" t="s">
        <v>295</v>
      </c>
      <c r="J29" s="56" t="s">
        <v>295</v>
      </c>
    </row>
    <row r="30" customFormat="false" ht="15" hidden="false" customHeight="false" outlineLevel="0" collapsed="false">
      <c r="A30" s="12" t="s">
        <v>309</v>
      </c>
      <c r="I30" s="33" t="n">
        <f aca="false">COUNTIFS(I18:I29,"Yes",J18:J29,"Yes")</f>
        <v>0</v>
      </c>
      <c r="J30" s="33" t="n">
        <f aca="false">ROWS(I18:I29)</f>
        <v>12</v>
      </c>
    </row>
    <row r="31" customFormat="false" ht="42" hidden="false" customHeight="true" outlineLevel="0" collapsed="false">
      <c r="A31" s="13" t="s">
        <v>310</v>
      </c>
      <c r="B31" s="13"/>
      <c r="C31" s="13"/>
      <c r="D31" s="13"/>
      <c r="E31" s="13"/>
      <c r="F31" s="13"/>
      <c r="G31" s="13"/>
      <c r="H31" s="13"/>
      <c r="I31" s="13"/>
      <c r="J31" s="13"/>
    </row>
  </sheetData>
  <mergeCells count="11">
    <mergeCell ref="C5:J5"/>
    <mergeCell ref="C6:J6"/>
    <mergeCell ref="C7:J7"/>
    <mergeCell ref="C8:J8"/>
    <mergeCell ref="C9:J9"/>
    <mergeCell ref="C10:J10"/>
    <mergeCell ref="C11:J11"/>
    <mergeCell ref="C12:J12"/>
    <mergeCell ref="C13:J13"/>
    <mergeCell ref="A16:J16"/>
    <mergeCell ref="A31:J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86"/>
  </cols>
  <sheetData>
    <row r="1" customFormat="false" ht="18.55" hidden="false" customHeight="false" outlineLevel="0" collapsed="false">
      <c r="A1" s="1" t="s">
        <v>311</v>
      </c>
    </row>
    <row r="2" customFormat="false" ht="15" hidden="false" customHeight="false" outlineLevel="0" collapsed="false">
      <c r="A2" s="2" t="s">
        <v>312</v>
      </c>
    </row>
    <row r="4" customFormat="false" ht="15" hidden="false" customHeight="false" outlineLevel="0" collapsed="false">
      <c r="A4" s="3" t="s">
        <v>313</v>
      </c>
    </row>
    <row r="5" customFormat="false" ht="15" hidden="false" customHeight="true" outlineLevel="0" collapsed="false">
      <c r="A5" s="13" t="s">
        <v>314</v>
      </c>
      <c r="B5" s="13"/>
      <c r="C5" s="13"/>
    </row>
    <row r="6" customFormat="false" ht="15" hidden="false" customHeight="true" outlineLevel="0" collapsed="false">
      <c r="A6" s="13" t="s">
        <v>315</v>
      </c>
      <c r="B6" s="13"/>
      <c r="C6" s="13"/>
    </row>
    <row r="7" customFormat="false" ht="15" hidden="false" customHeight="true" outlineLevel="0" collapsed="false">
      <c r="A7" s="13" t="s">
        <v>316</v>
      </c>
      <c r="B7" s="13"/>
      <c r="C7" s="13"/>
    </row>
    <row r="8" customFormat="false" ht="15" hidden="false" customHeight="true" outlineLevel="0" collapsed="false">
      <c r="A8" s="13" t="s">
        <v>317</v>
      </c>
      <c r="B8" s="13"/>
      <c r="C8" s="13"/>
    </row>
    <row r="9" customFormat="false" ht="15" hidden="false" customHeight="true" outlineLevel="0" collapsed="false">
      <c r="A9" s="13" t="s">
        <v>318</v>
      </c>
      <c r="B9" s="13"/>
      <c r="C9" s="13"/>
    </row>
    <row r="10" customFormat="false" ht="15" hidden="false" customHeight="true" outlineLevel="0" collapsed="false">
      <c r="A10" s="13" t="s">
        <v>319</v>
      </c>
      <c r="B10" s="13"/>
      <c r="C10" s="13"/>
    </row>
    <row r="12" customFormat="false" ht="15" hidden="false" customHeight="false" outlineLevel="0" collapsed="false">
      <c r="A12" s="3" t="s">
        <v>320</v>
      </c>
    </row>
    <row r="13" customFormat="false" ht="15" hidden="false" customHeight="false" outlineLevel="0" collapsed="false">
      <c r="A13" s="4" t="s">
        <v>3</v>
      </c>
      <c r="B13" s="4" t="s">
        <v>96</v>
      </c>
      <c r="C13" s="4" t="s">
        <v>321</v>
      </c>
    </row>
    <row r="14" customFormat="false" ht="23.85" hidden="false" customHeight="false" outlineLevel="0" collapsed="false">
      <c r="A14" s="5" t="s">
        <v>322</v>
      </c>
      <c r="B14" s="5" t="s">
        <v>101</v>
      </c>
      <c r="C14" s="5" t="s">
        <v>323</v>
      </c>
    </row>
    <row r="15" customFormat="false" ht="35.05" hidden="false" customHeight="false" outlineLevel="0" collapsed="false">
      <c r="A15" s="5" t="s">
        <v>324</v>
      </c>
      <c r="B15" s="5" t="s">
        <v>101</v>
      </c>
      <c r="C15" s="5" t="s">
        <v>325</v>
      </c>
    </row>
    <row r="16" customFormat="false" ht="35.05" hidden="false" customHeight="false" outlineLevel="0" collapsed="false">
      <c r="A16" s="5" t="s">
        <v>326</v>
      </c>
      <c r="B16" s="5" t="s">
        <v>101</v>
      </c>
      <c r="C16" s="5" t="s">
        <v>327</v>
      </c>
    </row>
    <row r="17" customFormat="false" ht="23.85" hidden="false" customHeight="false" outlineLevel="0" collapsed="false">
      <c r="A17" s="5" t="s">
        <v>328</v>
      </c>
      <c r="B17" s="5" t="s">
        <v>101</v>
      </c>
      <c r="C17" s="5" t="s">
        <v>329</v>
      </c>
    </row>
    <row r="18" customFormat="false" ht="23.85" hidden="false" customHeight="false" outlineLevel="0" collapsed="false">
      <c r="A18" s="5" t="s">
        <v>330</v>
      </c>
      <c r="B18" s="5" t="s">
        <v>101</v>
      </c>
      <c r="C18" s="5" t="s">
        <v>331</v>
      </c>
    </row>
    <row r="19" customFormat="false" ht="15" hidden="false" customHeight="false" outlineLevel="0" collapsed="false">
      <c r="A19" s="5" t="s">
        <v>100</v>
      </c>
      <c r="B19" s="5" t="s">
        <v>101</v>
      </c>
      <c r="C19" s="5" t="s">
        <v>332</v>
      </c>
    </row>
    <row r="20" customFormat="false" ht="23.85" hidden="false" customHeight="false" outlineLevel="0" collapsed="false">
      <c r="A20" s="5" t="s">
        <v>102</v>
      </c>
      <c r="B20" s="5" t="s">
        <v>101</v>
      </c>
      <c r="C20" s="5" t="s">
        <v>333</v>
      </c>
    </row>
    <row r="21" customFormat="false" ht="15" hidden="false" customHeight="false" outlineLevel="0" collapsed="false">
      <c r="A21" s="5" t="s">
        <v>103</v>
      </c>
      <c r="B21" s="5" t="s">
        <v>104</v>
      </c>
      <c r="C21" s="5" t="s">
        <v>334</v>
      </c>
    </row>
    <row r="22" customFormat="false" ht="15" hidden="false" customHeight="false" outlineLevel="0" collapsed="false">
      <c r="A22" s="5" t="s">
        <v>105</v>
      </c>
      <c r="B22" s="5" t="s">
        <v>104</v>
      </c>
      <c r="C22" s="5" t="s">
        <v>335</v>
      </c>
    </row>
    <row r="23" customFormat="false" ht="15" hidden="false" customHeight="false" outlineLevel="0" collapsed="false">
      <c r="A23" s="5" t="s">
        <v>106</v>
      </c>
      <c r="B23" s="5" t="s">
        <v>104</v>
      </c>
      <c r="C23" s="5" t="s">
        <v>334</v>
      </c>
    </row>
    <row r="24" customFormat="false" ht="15" hidden="false" customHeight="false" outlineLevel="0" collapsed="false">
      <c r="A24" s="5" t="s">
        <v>336</v>
      </c>
      <c r="B24" s="5" t="s">
        <v>101</v>
      </c>
      <c r="C24" s="5" t="s">
        <v>337</v>
      </c>
    </row>
    <row r="25" customFormat="false" ht="23.85" hidden="false" customHeight="false" outlineLevel="0" collapsed="false">
      <c r="A25" s="5" t="s">
        <v>338</v>
      </c>
      <c r="B25" s="5" t="s">
        <v>101</v>
      </c>
      <c r="C25" s="5" t="s">
        <v>339</v>
      </c>
    </row>
    <row r="26" customFormat="false" ht="46.25" hidden="false" customHeight="false" outlineLevel="0" collapsed="false">
      <c r="A26" s="5" t="s">
        <v>340</v>
      </c>
      <c r="B26" s="5" t="s">
        <v>101</v>
      </c>
      <c r="C26" s="5" t="s">
        <v>341</v>
      </c>
    </row>
    <row r="27" customFormat="false" ht="15" hidden="false" customHeight="false" outlineLevel="0" collapsed="false">
      <c r="A27" s="5" t="s">
        <v>177</v>
      </c>
      <c r="B27" s="5" t="s">
        <v>101</v>
      </c>
      <c r="C27" s="5" t="s">
        <v>342</v>
      </c>
    </row>
    <row r="28" customFormat="false" ht="15" hidden="false" customHeight="false" outlineLevel="0" collapsed="false">
      <c r="A28" s="5" t="s">
        <v>183</v>
      </c>
      <c r="B28" s="5" t="s">
        <v>101</v>
      </c>
      <c r="C28" s="5" t="s">
        <v>343</v>
      </c>
    </row>
    <row r="29" customFormat="false" ht="15" hidden="false" customHeight="false" outlineLevel="0" collapsed="false">
      <c r="A29" s="5" t="s">
        <v>189</v>
      </c>
      <c r="B29" s="5" t="s">
        <v>101</v>
      </c>
      <c r="C29" s="5" t="s">
        <v>344</v>
      </c>
    </row>
    <row r="30" customFormat="false" ht="15" hidden="false" customHeight="false" outlineLevel="0" collapsed="false">
      <c r="A30" s="5" t="s">
        <v>193</v>
      </c>
      <c r="B30" s="5" t="s">
        <v>101</v>
      </c>
      <c r="C30" s="5" t="s">
        <v>345</v>
      </c>
    </row>
    <row r="31" customFormat="false" ht="15" hidden="false" customHeight="false" outlineLevel="0" collapsed="false">
      <c r="A31" s="5" t="s">
        <v>346</v>
      </c>
      <c r="B31" s="5" t="s">
        <v>101</v>
      </c>
      <c r="C31" s="5" t="s">
        <v>347</v>
      </c>
    </row>
    <row r="32" customFormat="false" ht="15" hidden="false" customHeight="false" outlineLevel="0" collapsed="false">
      <c r="A32" s="5" t="s">
        <v>348</v>
      </c>
      <c r="B32" s="5" t="s">
        <v>101</v>
      </c>
      <c r="C32" s="5" t="s">
        <v>349</v>
      </c>
    </row>
  </sheetData>
  <mergeCells count="6">
    <mergeCell ref="A5:C5"/>
    <mergeCell ref="A6:C6"/>
    <mergeCell ref="A7:C7"/>
    <mergeCell ref="A8:C8"/>
    <mergeCell ref="A9:C9"/>
    <mergeCell ref="A10:C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2026-10-30T15:12:19Z</dcterms:created>
  <dc:creator>openpyxl</dc:creator>
  <dc:description/>
  <dc:language>en-US</dc:language>
  <cp:lastModifiedBy/>
  <dcterms:modified xsi:type="dcterms:W3CDTF">2026-10-30T15:12:19Z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