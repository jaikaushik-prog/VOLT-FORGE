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ild cost" sheetId="2" state="visible" r:id="rId4"/>
    <sheet name="Market" sheetId="3" state="visible" r:id="rId5"/>
    <sheet name="Parts" sheetId="4" state="visible" r:id="rId6"/>
    <sheet name="Design study" sheetId="5" state="visible" r:id="rId7"/>
    <sheet name="Evidence" sheetId="6" state="visible" r:id="rId8"/>
    <sheet name="Limits and 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<sst xmlns="http://schemas.openxmlformats.org/spreadsheetml/2006/main" count="632" uniqueCount="489">
  <si>
    <t xml:space="preserve">VOLT-FORGE appendix</t>
  </si>
  <si>
    <t xml:space="preserve">The numbers behind the Round 1 slide. Tata Elxsi Teliport Season 4, Case Study 2. Results are simulated; nothing has been built.</t>
  </si>
  <si>
    <t xml:space="preserve">Headlines</t>
  </si>
  <si>
    <t xml:space="preserve">Number</t>
  </si>
  <si>
    <t xml:space="preserve">Value</t>
  </si>
  <si>
    <t xml:space="preserve">What it means</t>
  </si>
  <si>
    <t xml:space="preserve">Smallest design that qualifies, cells</t>
  </si>
  <si>
    <t xml:space="preserve">Two LG M50T cells with the far-cell output, among the parallel layouts tested</t>
  </si>
  <si>
    <t xml:space="preserve">Required Pi tests passed</t>
  </si>
  <si>
    <t xml:space="preserve">Out of 33: normal, weak cell in each position, low cooling and more</t>
  </si>
  <si>
    <t xml:space="preserve">Worst cell current, A</t>
  </si>
  <si>
    <t xml:space="preserve">Against a 7.275 A limit</t>
  </si>
  <si>
    <t xml:space="preserve">Cell cost for 2 cells, ₹</t>
  </si>
  <si>
    <t xml:space="preserve">Half the ₹4,824 of the four-cell start. Cells only</t>
  </si>
  <si>
    <t xml:space="preserve">Simulated cases</t>
  </si>
  <si>
    <t xml:space="preserve">Frozen plan, run once, every result kept</t>
  </si>
  <si>
    <t xml:space="preserve">Nearest cell, real share of current at the start, %</t>
  </si>
  <si>
    <t xml:space="preserve">Published four-cell test. The model predicted 34.4</t>
  </si>
  <si>
    <t xml:space="preserve">Farthest cell, real share of current at the start, %</t>
  </si>
  <si>
    <t xml:space="preserve">Same test. The model predicted 18.7</t>
  </si>
  <si>
    <t xml:space="preserve">Measured cases inside both bands</t>
  </si>
  <si>
    <t xml:space="preserve">Out of 12 full-discharge checks. Voltage and temperature both missed. The model was not tuned</t>
  </si>
  <si>
    <t xml:space="preserve">Highest real over model heating, first 10 minutes</t>
  </si>
  <si>
    <t xml:space="preserve">Eight measured discharges, the length of the Pi job</t>
  </si>
  <si>
    <t xml:space="preserve">Cost to build the full product, ₹ crore</t>
  </si>
  <si>
    <t xml:space="preserve">Three years, from own lab data to a full engineering app</t>
  </si>
  <si>
    <t xml:space="preserve">Person-years</t>
  </si>
  <si>
    <t xml:space="preserve">About 34 people on average</t>
  </si>
  <si>
    <t xml:space="preserve">Share of one AspenTech R&amp;D year</t>
  </si>
  <si>
    <t xml:space="preserve">Scale check against an established engineering software company</t>
  </si>
  <si>
    <t xml:space="preserve">TAM, students (lakh)</t>
  </si>
  <si>
    <t xml:space="preserve">All engineering and technology students in India</t>
  </si>
  <si>
    <t xml:space="preserve">SAM, students (lakh)</t>
  </si>
  <si>
    <t xml:space="preserve">Electrical, electronics and mechanical</t>
  </si>
  <si>
    <t xml:space="preserve">SOM, colleges</t>
  </si>
  <si>
    <t xml:space="preserve">Assumed 5% of engineering colleges</t>
  </si>
  <si>
    <t xml:space="preserve">First stage of the build, ₹ crore</t>
  </si>
  <si>
    <t xml:space="preserve">Dataset, results, quality and the lab</t>
  </si>
  <si>
    <t xml:space="preserve">Paying teams to repay it in 5 years</t>
  </si>
  <si>
    <t xml:space="preserve">At an assumed ₹5 lakh a year, plus 130 labs, before running costs</t>
  </si>
  <si>
    <t xml:space="preserve">Tabs</t>
  </si>
  <si>
    <t xml:space="preserve">Build cost</t>
  </si>
  <si>
    <t xml:space="preserve">Every workstream, salary, lab item and running cost, plus two cross-checks</t>
  </si>
  <si>
    <t xml:space="preserve">Market</t>
  </si>
  <si>
    <t xml:space="preserve">TAM, SAM, SOM, the staged business case and what it takes to repay it</t>
  </si>
  <si>
    <t xml:space="preserve">Parts</t>
  </si>
  <si>
    <t xml:space="preserve">Listings and cost at each cell count, with the matching board</t>
  </si>
  <si>
    <t xml:space="preserve">Design study</t>
  </si>
  <si>
    <t xml:space="preserve">All 13 designs and what argues against the answer</t>
  </si>
  <si>
    <t xml:space="preserve">Evidence</t>
  </si>
  <si>
    <t xml:space="preserve">Software checks, real measurements, and whether the error changes the decision</t>
  </si>
  <si>
    <t xml:space="preserve">Limits and sources</t>
  </si>
  <si>
    <t xml:space="preserve">What is untested, bench safety, and where each number came from</t>
  </si>
  <si>
    <t xml:space="preserve">Colour key</t>
  </si>
  <si>
    <t xml:space="preserve">Blue text</t>
  </si>
  <si>
    <t xml:space="preserve">An input you can change</t>
  </si>
  <si>
    <t xml:space="preserve">Black text</t>
  </si>
  <si>
    <t xml:space="preserve">A formula or a recorded result</t>
  </si>
  <si>
    <t xml:space="preserve">Green text</t>
  </si>
  <si>
    <t xml:space="preserve">Pulled from another tab</t>
  </si>
  <si>
    <t xml:space="preserve">Yellow fill</t>
  </si>
  <si>
    <t xml:space="preserve">Our assumption, not a sourced number</t>
  </si>
  <si>
    <t xml:space="preserve">What the full product would cost to build</t>
  </si>
  <si>
    <t xml:space="preserve">About ₹35 crore over three years. Estimate, not a quote. Change any blue cell and everything follows.</t>
  </si>
  <si>
    <t xml:space="preserve">Inputs</t>
  </si>
  <si>
    <t xml:space="preserve">Overhead on salary</t>
  </si>
  <si>
    <t xml:space="preserve">Employer costs, hardware, office, hiring, attrition</t>
  </si>
  <si>
    <t xml:space="preserve">Contingency</t>
  </si>
  <si>
    <t xml:space="preserve">A research-heavy build carries schedule risk</t>
  </si>
  <si>
    <t xml:space="preserve">₹ per US$</t>
  </si>
  <si>
    <t xml:space="preserve">Planning rate</t>
  </si>
  <si>
    <t xml:space="preserve">Duration, years</t>
  </si>
  <si>
    <t xml:space="preserve">Work breakdown, in person-years</t>
  </si>
  <si>
    <t xml:space="preserve">Workstream</t>
  </si>
  <si>
    <t xml:space="preserve">Vision section</t>
  </si>
  <si>
    <t xml:space="preserve">Principal</t>
  </si>
  <si>
    <t xml:space="preserve">Senior physics</t>
  </si>
  <si>
    <t xml:space="preserve">Senior software</t>
  </si>
  <si>
    <t xml:space="preserve">Engineer</t>
  </si>
  <si>
    <t xml:space="preserve">Test technician</t>
  </si>
  <si>
    <t xml:space="preserve">₹ lakh</t>
  </si>
  <si>
    <t xml:space="preserve">₹ crore</t>
  </si>
  <si>
    <t xml:space="preserve">Pay, ₹ lakh a year</t>
  </si>
  <si>
    <t xml:space="preserve">Measured dataset and validation</t>
  </si>
  <si>
    <t xml:space="preserve">Sections 7, 12</t>
  </si>
  <si>
    <t xml:space="preserve">Electrical and thermal solvers to pack scale</t>
  </si>
  <si>
    <t xml:space="preserve">Sections 6, 13</t>
  </si>
  <si>
    <t xml:space="preserve">Electrochemistry, CFD and FEA</t>
  </si>
  <si>
    <t xml:space="preserve">Section 13 extensions</t>
  </si>
  <si>
    <t xml:space="preserve">3D Design Studio and CAD exchange</t>
  </si>
  <si>
    <t xml:space="preserve">Sections 4, 11</t>
  </si>
  <si>
    <t xml:space="preserve">Component library and versioned model graph</t>
  </si>
  <si>
    <t xml:space="preserve">Sections 5, 13</t>
  </si>
  <si>
    <t xml:space="preserve">Simulation, results, failure search and comparison</t>
  </si>
  <si>
    <t xml:space="preserve">Sections 6 to 9</t>
  </si>
  <si>
    <t xml:space="preserve">AI copilot</t>
  </si>
  <si>
    <t xml:space="preserve">Section 10</t>
  </si>
  <si>
    <t xml:space="preserve">Reports, projects, collaboration and security</t>
  </si>
  <si>
    <t xml:space="preserve">Sections 3, 11, 14</t>
  </si>
  <si>
    <t xml:space="preserve">Quality, documentation and support</t>
  </si>
  <si>
    <t xml:space="preserve">Sections 12, 14</t>
  </si>
  <si>
    <t xml:space="preserve">Product, design and management</t>
  </si>
  <si>
    <t xml:space="preserve">All</t>
  </si>
  <si>
    <t xml:space="preserve">Total people</t>
  </si>
  <si>
    <t xml:space="preserve">Lab</t>
  </si>
  <si>
    <t xml:space="preserve">Item</t>
  </si>
  <si>
    <t xml:space="preserve">Basis</t>
  </si>
  <si>
    <t xml:space="preserve">Quantity</t>
  </si>
  <si>
    <t xml:space="preserve">Unit ₹</t>
  </si>
  <si>
    <t xml:space="preserve">Unit US$</t>
  </si>
  <si>
    <t xml:space="preserve">LG M50T cells</t>
  </si>
  <si>
    <t xml:space="preserve">sourced</t>
  </si>
  <si>
    <t xml:space="preserve">Neware 8-channel 5 V 6 A cyclers</t>
  </si>
  <si>
    <t xml:space="preserve">High-current module cyclers</t>
  </si>
  <si>
    <t xml:space="preserve">assumed</t>
  </si>
  <si>
    <t xml:space="preserve">Sub-zero thermal chambers</t>
  </si>
  <si>
    <t xml:space="preserve">Sensors, fixtures and safety equipment</t>
  </si>
  <si>
    <t xml:space="preserve">Total lab</t>
  </si>
  <si>
    <t xml:space="preserve">Running costs (all assumed)</t>
  </si>
  <si>
    <t xml:space="preserve">₹ lakh a year</t>
  </si>
  <si>
    <t xml:space="preserve">₹ lakh total</t>
  </si>
  <si>
    <t xml:space="preserve">Lab space, power and safety</t>
  </si>
  <si>
    <t xml:space="preserve">Cloud and compute</t>
  </si>
  <si>
    <t xml:space="preserve">Software tools and AI usage</t>
  </si>
  <si>
    <t xml:space="preserve">Total running</t>
  </si>
  <si>
    <t xml:space="preserve">Legal, IP and quality audits (one-off)</t>
  </si>
  <si>
    <t xml:space="preserve">Total</t>
  </si>
  <si>
    <t xml:space="preserve">Layer</t>
  </si>
  <si>
    <t xml:space="preserve">Share</t>
  </si>
  <si>
    <t xml:space="preserve">People</t>
  </si>
  <si>
    <t xml:space="preserve">Running costs</t>
  </si>
  <si>
    <t xml:space="preserve">One-off</t>
  </si>
  <si>
    <t xml:space="preserve">Total build</t>
  </si>
  <si>
    <t xml:space="preserve">In US$ million</t>
  </si>
  <si>
    <t xml:space="preserve">Average team size</t>
  </si>
  <si>
    <t xml:space="preserve">Cross-check: COCOMO II, a standard software estimate</t>
  </si>
  <si>
    <t xml:space="preserve">Thousand lines: solvers and physics</t>
  </si>
  <si>
    <t xml:space="preserve">Thousand lines: studio and cad</t>
  </si>
  <si>
    <t xml:space="preserve">Thousand lines: library and data</t>
  </si>
  <si>
    <t xml:space="preserve">Thousand lines: results and failure search</t>
  </si>
  <si>
    <t xml:space="preserve">Thousand lines: copilot and reports</t>
  </si>
  <si>
    <t xml:space="preserve">Thousand lines: platform</t>
  </si>
  <si>
    <t xml:space="preserve">Thousand lines, total</t>
  </si>
  <si>
    <t xml:space="preserve">Person-months = 2.94 × lines^1.0997</t>
  </si>
  <si>
    <t xml:space="preserve">Cost at our average pay, ₹ crore</t>
  </si>
  <si>
    <t xml:space="preserve">Difference from our people cost</t>
  </si>
  <si>
    <t xml:space="preserve">Two methods land close. Software lines only, so a lower number is expected.</t>
  </si>
  <si>
    <t xml:space="preserve">Benchmark: AspenTech</t>
  </si>
  <si>
    <t xml:space="preserve">Research and development, FY2024, US$ million</t>
  </si>
  <si>
    <t xml:space="preserve">In ₹ crore</t>
  </si>
  <si>
    <t xml:space="preserve">Our whole build as a share of one AspenTech year</t>
  </si>
  <si>
    <t xml:space="preserve">Scale check only. AspenTech is not a battery tool, so this is not a like-for-like price.</t>
  </si>
  <si>
    <t xml:space="preserve">Who could use it, India first</t>
  </si>
  <si>
    <t xml:space="preserve">Students use it free, so revenue comes from labs and teams. Counts size the audience; they do not show anyone will pay.</t>
  </si>
  <si>
    <t xml:space="preserve">From AISHE 2021-22 (Ministry of Education)</t>
  </si>
  <si>
    <t xml:space="preserve">Group</t>
  </si>
  <si>
    <t xml:space="preserve">Count</t>
  </si>
  <si>
    <t xml:space="preserve">Note</t>
  </si>
  <si>
    <t xml:space="preserve">Engineering and technology students</t>
  </si>
  <si>
    <t xml:space="preserve">Electronics students</t>
  </si>
  <si>
    <t xml:space="preserve">Mechanical students</t>
  </si>
  <si>
    <t xml:space="preserve">Electrical students</t>
  </si>
  <si>
    <t xml:space="preserve">Engineering and technology colleges</t>
  </si>
  <si>
    <t xml:space="preserve">2,610 of 42,825 responding colleges are specialised in Engineering &amp; Technology. Universities and non-responding colleges are not counted.</t>
  </si>
  <si>
    <t xml:space="preserve">Assumed, nobody has seen this price</t>
  </si>
  <si>
    <t xml:space="preserve">Lab licence, ₹ a year</t>
  </si>
  <si>
    <t xml:space="preserve">Placeholder price for the free-for-students, paid-for-labs hypothesis. No customer has seen this price.</t>
  </si>
  <si>
    <t xml:space="preserve">Share of colleges reached</t>
  </si>
  <si>
    <t xml:space="preserve">Placeholder reach for the first three years. Not based on adoption data.</t>
  </si>
  <si>
    <t xml:space="preserve">Result</t>
  </si>
  <si>
    <t xml:space="preserve">Level</t>
  </si>
  <si>
    <t xml:space="preserve">What it is</t>
  </si>
  <si>
    <t xml:space="preserve">All engineering and technology students</t>
  </si>
  <si>
    <t xml:space="preserve">Electrical, electronics and mechanical students, the branches that design battery systems</t>
  </si>
  <si>
    <t xml:space="preserve">Assumed 5% of engineering colleges buying one lab licence, rounded down</t>
  </si>
  <si>
    <t xml:space="preserve">SOM revenue, ₹ lakh a year</t>
  </si>
  <si>
    <t xml:space="preserve">Honest finding</t>
  </si>
  <si>
    <t xml:space="preserve">Years of SOM revenue to repay the build</t>
  </si>
  <si>
    <t xml:space="preserve">Lab licences alone will not repay a ₹35 crore build, so the plan needs paying engineering teams and a staged build.</t>
  </si>
  <si>
    <t xml:space="preserve">Business case (hypothesis, no customer has seen these prices)</t>
  </si>
  <si>
    <t xml:space="preserve">Free for students. Labs pay a yearly licence. Engineering teams pay a yearly team plan.</t>
  </si>
  <si>
    <t xml:space="preserve">MATLAB, US$</t>
  </si>
  <si>
    <t xml:space="preserve">Simulink, US$</t>
  </si>
  <si>
    <t xml:space="preserve">Simscape, US$</t>
  </si>
  <si>
    <t xml:space="preserve">Simscape Battery, US$</t>
  </si>
  <si>
    <t xml:space="preserve">One commercial seat today, ₹ lakh</t>
  </si>
  <si>
    <t xml:space="preserve">One seat of the nearest commercial stack. Perpetual, named user, North America Standard, September 2026, excluding tax.</t>
  </si>
  <si>
    <t xml:space="preserve">Team plan, ₹ a year</t>
  </si>
  <si>
    <t xml:space="preserve">One team, up to five seats. Placeholder set below one seat of the benchmark stack. Not tested with any customer.</t>
  </si>
  <si>
    <t xml:space="preserve">Years to repay</t>
  </si>
  <si>
    <t xml:space="preserve">Planning horizon for the first stage.</t>
  </si>
  <si>
    <t xml:space="preserve">Stage</t>
  </si>
  <si>
    <t xml:space="preserve">Cost, ₹ crore</t>
  </si>
  <si>
    <t xml:space="preserve">What is in it</t>
  </si>
  <si>
    <t xml:space="preserve">Running total, ₹ crore</t>
  </si>
  <si>
    <t xml:space="preserve">Paying teams needed</t>
  </si>
  <si>
    <t xml:space="preserve">1. Validated tool for labs and small teams</t>
  </si>
  <si>
    <t xml:space="preserve">Measured dataset and validation, Simulation, results, failure search and comparison, Quality, documentation and support</t>
  </si>
  <si>
    <t xml:space="preserve">2. Pack scale for larger teams</t>
  </si>
  <si>
    <t xml:space="preserve">Electrical and thermal solvers to pack scale, Component library and versioned model graph, AI copilot, Reports, projects, collaboration and security</t>
  </si>
  <si>
    <t xml:space="preserve">3. Full engineering suite</t>
  </si>
  <si>
    <t xml:space="preserve">Electrochemistry, CFD and FEA, 3D Design Studio and CAD exchange, Product, design and management</t>
  </si>
  <si>
    <t xml:space="preserve">Stage one carries all lab equipment and lab running costs. Other shared costs are split by people cost, and contingency is added to each stage. Each stage starts only if the one before it is paying. Repayment leaves out running, support and sales costs after the build, and assumes customers from day one. The number of paying teams in India has not been sized.</t>
  </si>
  <si>
    <t xml:space="preserve">Stage one, needed a year, ₹ crore</t>
  </si>
  <si>
    <t xml:space="preserve">Paying teams needed with no lab income</t>
  </si>
  <si>
    <t xml:space="preserve">Labs needed with no team income</t>
  </si>
  <si>
    <t xml:space="preserve">Against 2,610 colleges, so labs alone are unlikely to carry it.</t>
  </si>
  <si>
    <t xml:space="preserve">What the backup would cost in parts</t>
  </si>
  <si>
    <t xml:space="preserve">Public listings checked 30 Oct 2026. One exact part per line. Two cells halve the cell bill, not the whole unit.</t>
  </si>
  <si>
    <t xml:space="preserve">Listings</t>
  </si>
  <si>
    <t xml:space="preserve">Part</t>
  </si>
  <si>
    <t xml:space="preserve">Seller</t>
  </si>
  <si>
    <t xml:space="preserve">Price</t>
  </si>
  <si>
    <t xml:space="preserve">Currency</t>
  </si>
  <si>
    <t xml:space="preserve">Tax</t>
  </si>
  <si>
    <t xml:space="preserve">Availability</t>
  </si>
  <si>
    <t xml:space="preserve">LG INR21700-M50T cell</t>
  </si>
  <si>
    <t xml:space="preserve">Robu</t>
  </si>
  <si>
    <t xml:space="preserve">INR</t>
  </si>
  <si>
    <t xml:space="preserve">Includes GST</t>
  </si>
  <si>
    <t xml:space="preserve">Out of stock</t>
  </si>
  <si>
    <t xml:space="preserve">Listing includes GST. Listed as out of stock when checked.</t>
  </si>
  <si>
    <t xml:space="preserve">Samsung INR21700-30T cell</t>
  </si>
  <si>
    <t xml:space="preserve">IMR Batteries</t>
  </si>
  <si>
    <t xml:space="preserve">USD</t>
  </si>
  <si>
    <t xml:space="preserve">Not stated</t>
  </si>
  <si>
    <t xml:space="preserve">Listed</t>
  </si>
  <si>
    <t xml:space="preserve">US listing. Not converted to rupees.</t>
  </si>
  <si>
    <t xml:space="preserve">ETP copper</t>
  </si>
  <si>
    <t xml:space="preserve">B B Electrotechnic</t>
  </si>
  <si>
    <t xml:space="preserve">Indicative</t>
  </si>
  <si>
    <t xml:space="preserve">Indicative rate per kg for a 12 mm busbar. Not a quote for thin fabricated links.</t>
  </si>
  <si>
    <t xml:space="preserve">Geekworm X1205 2-cell UPS HAT</t>
  </si>
  <si>
    <t xml:space="preserve">Geekworm</t>
  </si>
  <si>
    <t xml:space="preserve">Contradictory on the page</t>
  </si>
  <si>
    <t xml:space="preserve">Batteries, shipping and import duty not included. The page showed both "Only 118 items in stock" and "Out of stock". Lists up to 95% efficiency and a 2.4 V over-discharge cutoff on v1.1. No battery overcurrent threshold is published.</t>
  </si>
  <si>
    <t xml:space="preserve">Geekworm X1206 V2.0 UPS board</t>
  </si>
  <si>
    <t xml:space="preserve">Batteries, shipping and import duty not included. The page showed both "Only 37 items in stock" and "Out of stock". No battery-side cutoff or efficiency is published, and the listing does not confirm running with fewer than four cells fitted.</t>
  </si>
  <si>
    <t xml:space="preserve">Battery protection</t>
  </si>
  <si>
    <t xml:space="preserve">Included in the UPS board. The maker lists battery overcurrent, overvoltage and reverse-cell protection, with a 2.4 V over-discharge cutoff on v1.1. Not certified or independently tested here.</t>
  </si>
  <si>
    <t xml:space="preserve">Cost by cell count</t>
  </si>
  <si>
    <t xml:space="preserve">Cells</t>
  </si>
  <si>
    <t xml:space="preserve">Mass, g</t>
  </si>
  <si>
    <t xml:space="preserve">Cells, ₹</t>
  </si>
  <si>
    <t xml:space="preserve">Board, ₹</t>
  </si>
  <si>
    <t xml:space="preserve">Cells + board, ₹</t>
  </si>
  <si>
    <t xml:space="preserve">Saving against 4 cells</t>
  </si>
  <si>
    <t xml:space="preserve">Refused: over the cell current limit</t>
  </si>
  <si>
    <t xml:space="preserve">Recommended, on the 2-cell X1205 board</t>
  </si>
  <si>
    <t xml:space="preserve">The maker does not confirm the 4-cell board with three cells</t>
  </si>
  <si>
    <t xml:space="preserve">Starting design, on the 4-cell X1206 board</t>
  </si>
  <si>
    <t xml:space="preserve">Mass per cell, g</t>
  </si>
  <si>
    <t xml:space="preserve">Cells + board leaves out shipping, import duty, links and enclosure. Only in-stock near match found: M50LT at ₹499 from Hubtronics, a different cell we have not modelled.</t>
  </si>
  <si>
    <t xml:space="preserve">How few cells can back up a Raspberry Pi 5?</t>
  </si>
  <si>
    <t xml:space="preserve">Two. 4,006 simulated cases, frozen before the first run. Every row is a design; the blue row is the recommendation.</t>
  </si>
  <si>
    <t xml:space="preserve">The job</t>
  </si>
  <si>
    <t xml:space="preserve">Pi load, W</t>
  </si>
  <si>
    <t xml:space="preserve">Converter efficiency</t>
  </si>
  <si>
    <t xml:space="preserve">Voltage floor, V</t>
  </si>
  <si>
    <t xml:space="preserve">Cell current limit, A</t>
  </si>
  <si>
    <t xml:space="preserve">Battery current held, A</t>
  </si>
  <si>
    <t xml:space="preserve">Constant-current stand-in for a constant-power load, for 10 minutes at 23 °C</t>
  </si>
  <si>
    <t xml:space="preserve">Results</t>
  </si>
  <si>
    <t xml:space="preserve">Output layout</t>
  </si>
  <si>
    <t xml:space="preserve">Verdict</t>
  </si>
  <si>
    <t xml:space="preserve">Required passed</t>
  </si>
  <si>
    <t xml:space="preserve">Required total</t>
  </si>
  <si>
    <t xml:space="preserve">Lowest V, normal</t>
  </si>
  <si>
    <t xml:space="preserve">Peak A, normal</t>
  </si>
  <si>
    <t xml:space="preserve">Lowest V, worst</t>
  </si>
  <si>
    <t xml:space="preserve">Peak A, worst</t>
  </si>
  <si>
    <t xml:space="preserve">Worst °C</t>
  </si>
  <si>
    <t xml:space="preserve">Spare A</t>
  </si>
  <si>
    <t xml:space="preserve">12 A stress samples passed</t>
  </si>
  <si>
    <t xml:space="preserve">Same end</t>
  </si>
  <si>
    <t xml:space="preserve">Refused</t>
  </si>
  <si>
    <t xml:space="preserve">Qualifies</t>
  </si>
  <si>
    <t xml:space="preserve">59 of 62</t>
  </si>
  <si>
    <t xml:space="preserve">Far cell, thicker links</t>
  </si>
  <si>
    <t xml:space="preserve">60 of 62</t>
  </si>
  <si>
    <t xml:space="preserve">Far cell</t>
  </si>
  <si>
    <t xml:space="preserve">Same end, thicker links</t>
  </si>
  <si>
    <t xml:space="preserve">62 of 62</t>
  </si>
  <si>
    <t xml:space="preserve">247 of 247</t>
  </si>
  <si>
    <t xml:space="preserve">The study at a glance</t>
  </si>
  <si>
    <t xml:space="preserve">Cases run</t>
  </si>
  <si>
    <t xml:space="preserve">Refused by the product, all for going over the cell current limit</t>
  </si>
  <si>
    <t xml:space="preserve">Calculated cases, every one closed its energy balance</t>
  </si>
  <si>
    <t xml:space="preserve">Time-step check: largest voltage change when the step was halved, V</t>
  </si>
  <si>
    <t xml:space="preserve">Time-step check: largest temperature change, K</t>
  </si>
  <si>
    <t xml:space="preserve">What argues against two cells</t>
  </si>
  <si>
    <t xml:space="preserve">No spare: if one cell or its contact fails, the backup fails. Three cells is the smallest design that survives losing a cell.</t>
  </si>
  <si>
    <t xml:space="preserve">Less margin: 5.33 A worst case, against 3.34 A for four cells.</t>
  </si>
  <si>
    <t xml:space="preserve">Cold rooms: below 10 °C the LG sheet limits each cell to 2.425 A, so two cells could not carry this load. The study holds 23 °C.</t>
  </si>
  <si>
    <t xml:space="preserve">A bought board has a fixed cell layout, so the far-cell output needs your own wiring. The same-end layout also passes all 33 required tests.</t>
  </si>
  <si>
    <t xml:space="preserve">The X1205 publishes no battery overcurrent threshold, so its limit at about 8 A must be measured.</t>
  </si>
  <si>
    <t xml:space="preserve">The 12 A stress test can fail: 2 of 62 mixed samples were refused. All 62 passed at the Pi load.</t>
  </si>
  <si>
    <t xml:space="preserve">No link layout wins everywhere: the far-cell output raised peak current in 35 of 81 paired cases.</t>
  </si>
  <si>
    <t xml:space="preserve">Temperatures are a range, not a prediction. See Evidence.</t>
  </si>
  <si>
    <t xml:space="preserve">If the Pi draws less than 25 W</t>
  </si>
  <si>
    <t xml:space="preserve">One cell stays under its limit below, W</t>
  </si>
  <si>
    <t xml:space="preserve">25 W is the supply rating, not a measured draw. Published readings are about 8.8 W on a CPU stress test and up to 16 W with an SSD and video.</t>
  </si>
  <si>
    <t xml:space="preserve">Recharge after a 10-minute outage</t>
  </si>
  <si>
    <t xml:space="preserve">Charge used, Ah</t>
  </si>
  <si>
    <t xml:space="preserve">Charge current, A</t>
  </si>
  <si>
    <t xml:space="preserve">Two cells at the LG 1.455 A limit up to 25 °C. The X1205 can charge at up to 3 A, so it should be set just below that.</t>
  </si>
  <si>
    <t xml:space="preserve">Time to put it back, minutes</t>
  </si>
  <si>
    <t xml:space="preserve">Simple estimate, before the slower finish of a real charge</t>
  </si>
  <si>
    <t xml:space="preserve">How far the results can be trusted</t>
  </si>
  <si>
    <t xml:space="preserve">The maths checks out. Real-data comparison did not: all 12 cases missed. We kept that result and did not tune the model.</t>
  </si>
  <si>
    <t xml:space="preserve">Checks</t>
  </si>
  <si>
    <t xml:space="preserve">Check</t>
  </si>
  <si>
    <t xml:space="preserve">Python tests</t>
  </si>
  <si>
    <t xml:space="preserve">442 passed, 8 known skips</t>
  </si>
  <si>
    <t xml:space="preserve">Clean install of the final code</t>
  </si>
  <si>
    <t xml:space="preserve">JavaScript tests</t>
  </si>
  <si>
    <t xml:space="preserve">50 passed</t>
  </si>
  <si>
    <t xml:space="preserve">Editor and app logic</t>
  </si>
  <si>
    <t xml:space="preserve">AI route</t>
  </si>
  <si>
    <t xml:space="preserve">4 of 4 prompts on Claude and on Codex</t>
  </si>
  <si>
    <t xml:space="preserve">Each plain-English request opened an editable draft</t>
  </si>
  <si>
    <t xml:space="preserve">Independent solver (PyBaMM)</t>
  </si>
  <si>
    <t xml:space="preserve">15 of 15 cases</t>
  </si>
  <si>
    <t xml:space="preserve">Same answer on voltage and heat, so the arithmetic is sound. This is not a test against real cells</t>
  </si>
  <si>
    <t xml:space="preserve">Energy balance</t>
  </si>
  <si>
    <t xml:space="preserve">Closed in all 3,964 runs</t>
  </si>
  <si>
    <t xml:space="preserve">Energy out of the cells equals energy delivered plus heat</t>
  </si>
  <si>
    <t xml:space="preserve">Export replay</t>
  </si>
  <si>
    <t xml:space="preserve">5 of 5 replayed</t>
  </si>
  <si>
    <t xml:space="preserve">A saved test reproduces exactly; tampered files are refused</t>
  </si>
  <si>
    <t xml:space="preserve">Data files</t>
  </si>
  <si>
    <t xml:space="preserve">194 files hashed</t>
  </si>
  <si>
    <t xml:space="preserve">54 module experiments from Piombo et al., inventory and integrity only</t>
  </si>
  <si>
    <t xml:space="preserve">Sealed records</t>
  </si>
  <si>
    <t xml:space="preserve">9 never opened</t>
  </si>
  <si>
    <t xml:space="preserve">3 module tests and 6 Samsung cell records, reserved for a final assessment</t>
  </si>
  <si>
    <t xml:space="preserve">Audit of V3 findings</t>
  </si>
  <si>
    <t xml:space="preserve">16 fixed, 3 partly, 1 bounded</t>
  </si>
  <si>
    <t xml:space="preserve">Self-check of the V3 findings. VF3-08 stays unresolved but does not change the decision. A fresh reviewer then raised 26 items on V4: see INDEPENDENT_AUDIT.md</t>
  </si>
  <si>
    <t xml:space="preserve">Compared with published measurements: frozen before any run, never used to fit</t>
  </si>
  <si>
    <t xml:space="preserve">Voltage band: RMSE up to 50 mV and largest error up to 150 mV. Temperature band: peak rise error up to 1 K or 25% of the measured rise, whichever is larger.</t>
  </si>
  <si>
    <t xml:space="preserve">Case</t>
  </si>
  <si>
    <t xml:space="preserve">Role</t>
  </si>
  <si>
    <t xml:space="preserve">Current, A</t>
  </si>
  <si>
    <t xml:space="preserve">Voltage error, V</t>
  </si>
  <si>
    <t xml:space="preserve">Temp error, K</t>
  </si>
  <si>
    <t xml:space="preserve">Rise measured, K</t>
  </si>
  <si>
    <t xml:space="preserve">Rise simulated, K</t>
  </si>
  <si>
    <t xml:space="preserve">Difference, K</t>
  </si>
  <si>
    <t xml:space="preserve">Voltage in band</t>
  </si>
  <si>
    <t xml:space="preserve">Temp in band</t>
  </si>
  <si>
    <t xml:space="preserve">Test 28</t>
  </si>
  <si>
    <t xml:space="preserve">Exact M50T module</t>
  </si>
  <si>
    <t xml:space="preserve">No</t>
  </si>
  <si>
    <t xml:space="preserve">Test 28, Hall current</t>
  </si>
  <si>
    <t xml:space="preserve">Test 28, link +1 mΩ</t>
  </si>
  <si>
    <t xml:space="preserve">Test 53</t>
  </si>
  <si>
    <t xml:space="preserve">Module, already used for cooling</t>
  </si>
  <si>
    <t xml:space="preserve">Test 53, Hall current</t>
  </si>
  <si>
    <t xml:space="preserve">Test 53, link +1 mΩ</t>
  </si>
  <si>
    <t xml:space="preserve">Warwick cell02 2.5A</t>
  </si>
  <si>
    <t xml:space="preserve">Warwick M50 single cell</t>
  </si>
  <si>
    <t xml:space="preserve">Warwick cell02 5A</t>
  </si>
  <si>
    <t xml:space="preserve">Warwick cell03 2.5A</t>
  </si>
  <si>
    <t xml:space="preserve">Warwick cell03 5A</t>
  </si>
  <si>
    <t xml:space="preserve">Warwick cell04 2.5A</t>
  </si>
  <si>
    <t xml:space="preserve">Warwick cell04 5A</t>
  </si>
  <si>
    <t xml:space="preserve">Cases inside both bands</t>
  </si>
  <si>
    <t xml:space="preserve">What this means: single cells heat up more than the model says, and the test rig ran cooler than it says. So cooling depends on the rig, and every temperature stays a range. Voltage also stayed outside its band.</t>
  </si>
  <si>
    <t xml:space="preserve">Does that error change the decision? Limits frozen before running</t>
  </si>
  <si>
    <t xml:space="preserve">Limit</t>
  </si>
  <si>
    <t xml:space="preserve">Current share, test28</t>
  </si>
  <si>
    <t xml:space="preserve">1.13 points average error</t>
  </si>
  <si>
    <t xml:space="preserve">2.5 points</t>
  </si>
  <si>
    <t xml:space="preserve">Pass</t>
  </si>
  <si>
    <t xml:space="preserve">Current share, test53</t>
  </si>
  <si>
    <t xml:space="preserve">0.21 points average error</t>
  </si>
  <si>
    <t xml:space="preserve">Busiest cell named, test28</t>
  </si>
  <si>
    <t xml:space="preserve">62% of samples</t>
  </si>
  <si>
    <t xml:space="preserve">80%</t>
  </si>
  <si>
    <t xml:space="preserve">Miss</t>
  </si>
  <si>
    <t xml:space="preserve">Busiest cell named, test53</t>
  </si>
  <si>
    <t xml:space="preserve">48% of samples</t>
  </si>
  <si>
    <t xml:space="preserve">Voltage error in the Pi's charge range</t>
  </si>
  <si>
    <t xml:space="preserve">0.17 V, model too high</t>
  </si>
  <si>
    <t xml:space="preserve">0.20 V margin</t>
  </si>
  <si>
    <t xml:space="preserve">Pass, by 0.03 V</t>
  </si>
  <si>
    <t xml:space="preserve">Temperature at the worst known error</t>
  </si>
  <si>
    <t xml:space="preserve">42.4 °C, at 2.27 times the rise</t>
  </si>
  <si>
    <t xml:space="preserve">55 °C, LG sheet</t>
  </si>
  <si>
    <t xml:space="preserve">8.42 A against a true 25 W load</t>
  </si>
  <si>
    <t xml:space="preserve">Cell peak 4.21 A against 3.90 A</t>
  </si>
  <si>
    <t xml:space="preserve">Must be the harder case</t>
  </si>
  <si>
    <t xml:space="preserve">OCV slope against entropy (VF3-08)</t>
  </si>
  <si>
    <t xml:space="preserve">35.0 °C, worst variant</t>
  </si>
  <si>
    <t xml:space="preserve">55 °C</t>
  </si>
  <si>
    <t xml:space="preserve">LG low-charge table change</t>
  </si>
  <si>
    <t xml:space="preserve">Lowest charge 54.0% across all 33 tests</t>
  </si>
  <si>
    <t xml:space="preserve">Above 18%</t>
  </si>
  <si>
    <t xml:space="preserve">Test 28: share of the current in a real four-cell module, % (added after the run)</t>
  </si>
  <si>
    <t xml:space="preserve">Cell, from nearest the output</t>
  </si>
  <si>
    <t xml:space="preserve">Measured, first 10%</t>
  </si>
  <si>
    <t xml:space="preserve">Model</t>
  </si>
  <si>
    <t xml:space="preserve">Measured, last 10%</t>
  </si>
  <si>
    <t xml:space="preserve">Cell 1</t>
  </si>
  <si>
    <t xml:space="preserve">Cell 2</t>
  </si>
  <si>
    <t xml:space="preserve">Cell 3</t>
  </si>
  <si>
    <t xml:space="preserve">Cell 4</t>
  </si>
  <si>
    <t xml:space="preserve">The model's average error is 1.13 points, against 2.38 for a guess that every cell carries 25%. The assumed sensor order fits best of all 24 possible orders. On test 53, with no added link resistance, the cells shared almost evenly and the model did no better than that guess. One module is not proof. The sensors' calibration is unresolved, and shares cancel only a gain common to all sensors. That test used 3 mΩ links, three times the design's.</t>
  </si>
  <si>
    <t xml:space="preserve">Real heating over the first 10 minutes, the length of the Pi job (added after the run)</t>
  </si>
  <si>
    <t xml:space="preserve">Measured discharge</t>
  </si>
  <si>
    <t xml:space="preserve">Measured rise, K</t>
  </si>
  <si>
    <t xml:space="preserve">Model rise, K</t>
  </si>
  <si>
    <t xml:space="preserve">Real over model</t>
  </si>
  <si>
    <t xml:space="preserve">Test 28, M50T module</t>
  </si>
  <si>
    <t xml:space="preserve">Test 53, M50T module</t>
  </si>
  <si>
    <t xml:space="preserve">Warwick cell 2 2.5 A</t>
  </si>
  <si>
    <t xml:space="preserve">Warwick cell 2 5 A</t>
  </si>
  <si>
    <t xml:space="preserve">Warwick cell 3 2.5 A</t>
  </si>
  <si>
    <t xml:space="preserve">Warwick cell 3 5 A</t>
  </si>
  <si>
    <t xml:space="preserve">Warwick cell 4 2.5 A</t>
  </si>
  <si>
    <t xml:space="preserve">Warwick cell 4 5 A</t>
  </si>
  <si>
    <t xml:space="preserve">Highest</t>
  </si>
  <si>
    <t xml:space="preserve">Warwick cells are LG M50 family, not confirmed M50T. The 2.27 in the table above comes from a full discharge taken close to empty, so it is the harsher figure.</t>
  </si>
  <si>
    <t xml:space="preserve">Virtual protection: with cutoffs of 7 A a cell, 3.3 V and 45 C, with 0.5 s sensing and 0.5 s response, the design finished the job without tripping.</t>
  </si>
  <si>
    <t xml:space="preserve">What is assumed, untested and where each number came from</t>
  </si>
  <si>
    <t xml:space="preserve">Anything marked assumed is our judgement. No user, price or accuracy claim here comes from a real trial.</t>
  </si>
  <si>
    <t xml:space="preserve">Not done yet</t>
  </si>
  <si>
    <t xml:space="preserve">Nothing has been built. All results are simulated.</t>
  </si>
  <si>
    <t xml:space="preserve">No hardware test and no real user trial yet. No user has tried the app.</t>
  </si>
  <si>
    <t xml:space="preserve">No accuracy figure exists: the published-data checks missed, and the sealed records stay closed.</t>
  </si>
  <si>
    <t xml:space="preserve">Not tested: Windows.</t>
  </si>
  <si>
    <t xml:space="preserve">The X1205 publishes no battery overcurrent threshold, so its limit at about 8 A is unknown.</t>
  </si>
  <si>
    <t xml:space="preserve">The LG low-charge table change is unvalidated. The Pi job never reaches it.</t>
  </si>
  <si>
    <t xml:space="preserve">OCV slope against entropy (VF3-08) is unresolved. It does not change the decision.</t>
  </si>
  <si>
    <t xml:space="preserve">Not in scope for Round 1: ageing, packaging, energy management and full charge modelling.</t>
  </si>
  <si>
    <t xml:space="preserve">Find the smallest design tests normal conditions only. The weak-cell tests are in the study.</t>
  </si>
  <si>
    <t xml:space="preserve">Salary inputs are approximate: principals use a senior-engineer average and senior physics a 3 to 5 year band.</t>
  </si>
  <si>
    <t xml:space="preserve">The number of paying teams in India has not been sized.</t>
  </si>
  <si>
    <t xml:space="preserve">Safety precautions for the bench test</t>
  </si>
  <si>
    <t xml:space="preserve">Stay low voltage: one parallel group, never above 4.2 V.</t>
  </si>
  <si>
    <t xml:space="preserve">Use new, unprotected 21700 cells from one batch, as the board maker asks. Never mix old and new cells or brands.</t>
  </si>
  <si>
    <t xml:space="preserve">Check each cell is at the same voltage before fitting. Fit them with the board off and check polarity.</t>
  </si>
  <si>
    <t xml:space="preserve">Keep a temperature sensor on the busiest cell and stop at 45 °C, well below the 55 °C limit.</t>
  </si>
  <si>
    <t xml:space="preserve">Charge only between 0 and 45 °C, below 2.9 A for two cells at room temperature.</t>
  </si>
  <si>
    <t xml:space="preserve">Work on a non-flammable surface with someone present. Never leave a test running alone.</t>
  </si>
  <si>
    <t xml:space="preserve">Stop and move away if a cell swells, smells or heats quickly.</t>
  </si>
  <si>
    <t xml:space="preserve">Sources</t>
  </si>
  <si>
    <t xml:space="preserve">Source</t>
  </si>
  <si>
    <t xml:space="preserve">Principal pay, ₹37 lakh</t>
  </si>
  <si>
    <t xml:space="preserve">PERSOL India 2026 average for a senior software engineer, used here for principal-level staff https://www.persolindia.com/articles/salary-of-senior-software-engineer-in-india</t>
  </si>
  <si>
    <t xml:space="preserve">Senior physics pay, ₹25 lakh</t>
  </si>
  <si>
    <t xml:space="preserve">Top of the 12 to 25 LPA band for battery simulation engineers with 3 to 5 years, EVacad https://www.evacad.com/blog/battery-modelling-simulation-in-electric-vehicles-tools-career-scope-and-industry-application</t>
  </si>
  <si>
    <t xml:space="preserve">Senior software pay, ₹18.1 lakh</t>
  </si>
  <si>
    <t xml:space="preserve">Glassdoor 75th percentile, senior software engineer, India, July 2026 https://www.glassdoor.co.in/Salaries/software-engineer-senior-software-developer-salary-SRCH_KO0,43_P4.htm</t>
  </si>
  <si>
    <t xml:space="preserve">Engineer pay, ₹11 lakh</t>
  </si>
  <si>
    <t xml:space="preserve">Glassdoor average, same page https://www.glassdoor.co.in/Salaries/software-engineer-senior-software-developer-salary-SRCH_KO0,43_P4.htm</t>
  </si>
  <si>
    <t xml:space="preserve">Test technician pay, ₹8 lakh</t>
  </si>
  <si>
    <t xml:space="preserve">Average CTC at 2 to 5 years for design-side mechanical and CAE roles, salaryinhand https://salaryinhand.in/salaries/mechanical-engineer</t>
  </si>
  <si>
    <t xml:space="preserve">Robu listing, 30 Oct 2026</t>
  </si>
  <si>
    <t xml:space="preserve">Midpoint of the US$2,000 to 4,000 listing on goldsupplier https://www.goldsupplier.com/provide/p159048115.html</t>
  </si>
  <si>
    <t xml:space="preserve">Our planning figure</t>
  </si>
  <si>
    <t xml:space="preserve">Listed 100 L chambers near Rs 1.45 lakh stop at 5 C; battery work needs sub-zero.</t>
  </si>
  <si>
    <t xml:space="preserve">COCOMO II formula</t>
  </si>
  <si>
    <t xml:space="preserve">https://ranger.uta.edu/~khalili/Overview%20of%20COCOMO.htm</t>
  </si>
  <si>
    <t xml:space="preserve">AspenTech R&amp;D</t>
  </si>
  <si>
    <t xml:space="preserve">AspenTech fiscal 2024 results release https://www.silicon.co.uk/press-release/aspen-technology-announces-financial-results-for-the-fourth-quarter-and-fiscal-2024</t>
  </si>
  <si>
    <t xml:space="preserve">Students and colleges</t>
  </si>
  <si>
    <t xml:space="preserve">All India Survey on Higher Education 2021-22, Ministry of Education https://education.gov.in/sites/upload_files/mhrd/files/statistics-new/AISHE%20Book_2021-22_4.pdf (read from https://educationforallinindia.com/wp-content/uploads/2024/04/AISHE_Report_2021-22_Ministry_of_Education.pdf)</t>
  </si>
  <si>
    <t xml:space="preserve">https://robu.in/product/lg-inr21700-m50t-5000mah-1c-li-ion-battery/</t>
  </si>
  <si>
    <t xml:space="preserve">https://imrbatteries.com/products/samsung-30t-21700-3000mah-35a-battery</t>
  </si>
  <si>
    <t xml:space="preserve">https://www.bbelectro.net/etp-copper-busbars.html</t>
  </si>
  <si>
    <t xml:space="preserve">https://geekworm.com/products/x1205</t>
  </si>
  <si>
    <t xml:space="preserve">https://geekworm.com/products/x1206</t>
  </si>
  <si>
    <t xml:space="preserve">X1205 cutoff and efficiency</t>
  </si>
  <si>
    <t xml:space="preserve">https://wiki.geekworm.com/X1205</t>
  </si>
  <si>
    <t xml:space="preserve">LG current and temperature limits</t>
  </si>
  <si>
    <t xml:space="preserve">LG INR21700 M50T product specification, Rev 0, sections 2.7, 4.2.3 and 4.2.4. Section locators: configs/source_locators_v1.json</t>
  </si>
  <si>
    <t xml:space="preserve">LG M50T identity of the model</t>
  </si>
  <si>
    <t xml:space="preserve">PyECN paper, Section 3.1, https://doi.org/10.31224/2972</t>
  </si>
  <si>
    <t xml:space="preserve">Team plan benchmark</t>
  </si>
  <si>
    <t xml:space="preserve">https://www.mathworks.com/content/dam/mathworks/price-lists/north-america-standard.pdf</t>
  </si>
  <si>
    <t xml:space="preserve">Real Pi 5 draw, about 8.8 W CPU stress and up to 16 W with SSD and video</t>
  </si>
  <si>
    <t xml:space="preserve">https://raspberry.tips/en/?p=8794</t>
  </si>
  <si>
    <t xml:space="preserve">Team plan, ₹5 lakh a year</t>
  </si>
  <si>
    <t xml:space="preserve">Module test data</t>
  </si>
  <si>
    <t xml:space="preserve">Piombo et al., DOI 10.17632/zh58byr53c.2, CC BY 4.0</t>
  </si>
  <si>
    <t xml:space="preserve">Single-cell test data</t>
  </si>
  <si>
    <t xml:space="preserve">Chen et al., Warwick LG M50 data, https://wrap.warwick.ac.uk/id/eprint/149527</t>
  </si>
</sst>
</file>

<file path=xl/styles.xml><?xml version="1.0" encoding="utf-8"?>
<styleSheet xmlns="http://schemas.openxmlformats.org/spreadsheetml/2006/main">
  <numFmts count="15">
    <numFmt numFmtId="164" formatCode="General"/>
    <numFmt numFmtId="165" formatCode="0"/>
    <numFmt numFmtId="166" formatCode="0.00"/>
    <numFmt numFmtId="167" formatCode="#,##0"/>
    <numFmt numFmtId="168" formatCode="0.0"/>
    <numFmt numFmtId="169" formatCode="0.0%"/>
    <numFmt numFmtId="170" formatCode="0.0\×"/>
    <numFmt numFmtId="171" formatCode="0%"/>
    <numFmt numFmtId="172" formatCode="0.0;\-0.0;\-"/>
    <numFmt numFmtId="173" formatCode="#,##0.0"/>
    <numFmt numFmtId="174" formatCode="#,##0.00"/>
    <numFmt numFmtId="175" formatCode="0.000"/>
    <numFmt numFmtId="176" formatCode="0.00000"/>
    <numFmt numFmtId="177" formatCode="0.0000"/>
    <numFmt numFmtId="178" formatCode="\+0.00;\-0.00"/>
  </numFmts>
  <fonts count="12">
    <font>
      <sz val="11"/>
      <color theme="1"/>
      <name val="Calibri"/>
      <family val="2"/>
      <charset val="1"/>
    </font>
    <font>
      <sz val="10"/>
      <name val="Arial"/>
      <family val="0"/>
    </font>
    <font>
      <sz val="10"/>
      <name val="Arial"/>
      <family val="0"/>
    </font>
    <font>
      <sz val="10"/>
      <name val="Arial"/>
      <family val="0"/>
    </font>
    <font>
      <b val="true"/>
      <sz val="15"/>
      <color rgb="FF0B6FA8"/>
      <name val="Arial"/>
      <family val="0"/>
      <charset val="1"/>
    </font>
    <font>
      <sz val="10"/>
      <color rgb="FF5B6B7A"/>
      <name val="Arial"/>
      <family val="0"/>
      <charset val="1"/>
    </font>
    <font>
      <b val="true"/>
      <sz val="11"/>
      <color rgb="FF0B6FA8"/>
      <name val="Arial"/>
      <family val="0"/>
      <charset val="1"/>
    </font>
    <font>
      <b val="true"/>
      <sz val="10"/>
      <color rgb="FFFFFFFF"/>
      <name val="Arial"/>
      <family val="0"/>
      <charset val="1"/>
    </font>
    <font>
      <sz val="10"/>
      <color rgb="FF10202F"/>
      <name val="Arial"/>
      <family val="0"/>
      <charset val="1"/>
    </font>
    <font>
      <sz val="10"/>
      <color rgb="FF008000"/>
      <name val="Arial"/>
      <family val="0"/>
      <charset val="1"/>
    </font>
    <font>
      <b val="true"/>
      <sz val="10"/>
      <color rgb="FF10202F"/>
      <name val="Arial"/>
      <family val="0"/>
      <charset val="1"/>
    </font>
    <font>
      <sz val="10"/>
      <color rgb="FF0000FF"/>
      <name val="Arial"/>
      <family val="0"/>
      <charset val="1"/>
    </font>
  </fonts>
  <fills count="5">
    <fill>
      <patternFill patternType="none"/>
    </fill>
    <fill>
      <patternFill patternType="gray125"/>
    </fill>
    <fill>
      <patternFill patternType="solid">
        <fgColor rgb="FF0B6FA8"/>
        <bgColor rgb="FF008080"/>
      </patternFill>
    </fill>
    <fill>
      <patternFill patternType="solid">
        <fgColor rgb="FFFFFF00"/>
        <bgColor rgb="FFFFFF00"/>
      </patternFill>
    </fill>
    <fill>
      <patternFill patternType="solid">
        <fgColor rgb="FFDFF1FB"/>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1" shrinkToFit="false"/>
      <protection locked="true" hidden="false"/>
    </xf>
    <xf numFmtId="166" fontId="9" fillId="0" borderId="0" xfId="0" applyFont="true" applyBorder="false" applyAlignment="true" applyProtection="false">
      <alignment horizontal="general" vertical="top" textRotation="0" wrapText="false" indent="0" shrinkToFit="false"/>
      <protection locked="true" hidden="false"/>
    </xf>
    <xf numFmtId="167" fontId="9" fillId="0" borderId="0" xfId="0" applyFont="true" applyBorder="false" applyAlignment="true" applyProtection="false">
      <alignment horizontal="general" vertical="top" textRotation="0" wrapText="false" indent="0" shrinkToFit="false"/>
      <protection locked="true" hidden="false"/>
    </xf>
    <xf numFmtId="168" fontId="9" fillId="0" borderId="0" xfId="0" applyFont="true" applyBorder="false" applyAlignment="true" applyProtection="false">
      <alignment horizontal="general" vertical="top" textRotation="0" wrapText="false" indent="0" shrinkToFit="false"/>
      <protection locked="true" hidden="false"/>
    </xf>
    <xf numFmtId="169"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70" fontId="11" fillId="3" borderId="0" xfId="0" applyFont="true" applyBorder="false" applyAlignment="true" applyProtection="false">
      <alignment horizontal="general" vertical="top" textRotation="0" wrapText="false" indent="0" shrinkToFit="false"/>
      <protection locked="true" hidden="false"/>
    </xf>
    <xf numFmtId="171" fontId="11" fillId="3" borderId="0" xfId="0" applyFont="true" applyBorder="false" applyAlignment="true" applyProtection="false">
      <alignment horizontal="general" vertical="top" textRotation="0" wrapText="false" indent="0" shrinkToFit="false"/>
      <protection locked="true" hidden="false"/>
    </xf>
    <xf numFmtId="165" fontId="11" fillId="3" borderId="0" xfId="0" applyFont="true" applyBorder="false" applyAlignment="true" applyProtection="false">
      <alignment horizontal="general" vertical="top" textRotation="0" wrapText="false" indent="0" shrinkToFit="false"/>
      <protection locked="true" hidden="false"/>
    </xf>
    <xf numFmtId="168" fontId="11" fillId="0" borderId="0" xfId="0" applyFont="true" applyBorder="false" applyAlignment="true" applyProtection="false">
      <alignment horizontal="general" vertical="top" textRotation="0" wrapText="false" indent="0" shrinkToFit="false"/>
      <protection locked="true" hidden="false"/>
    </xf>
    <xf numFmtId="172" fontId="11"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73"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73" fontId="10" fillId="0" borderId="0" xfId="0" applyFont="true" applyBorder="false" applyAlignment="true" applyProtection="false">
      <alignment horizontal="general" vertical="top" textRotation="0" wrapText="false" indent="0" shrinkToFit="false"/>
      <protection locked="true" hidden="false"/>
    </xf>
    <xf numFmtId="166" fontId="10" fillId="0" borderId="0" xfId="0" applyFont="true" applyBorder="false" applyAlignment="true" applyProtection="false">
      <alignment horizontal="general" vertical="top" textRotation="0" wrapText="false" indent="0" shrinkToFit="false"/>
      <protection locked="true" hidden="false"/>
    </xf>
    <xf numFmtId="167" fontId="11" fillId="0" borderId="0" xfId="0" applyFont="true" applyBorder="false" applyAlignment="true" applyProtection="false">
      <alignment horizontal="general" vertical="top" textRotation="0" wrapText="false" indent="0" shrinkToFit="false"/>
      <protection locked="true" hidden="false"/>
    </xf>
    <xf numFmtId="167" fontId="11" fillId="3"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7" fontId="10" fillId="0" borderId="0" xfId="0" applyFont="true" applyBorder="false" applyAlignment="true" applyProtection="false">
      <alignment horizontal="general" vertical="top" textRotation="0" wrapText="false" indent="0" shrinkToFit="false"/>
      <protection locked="true" hidden="false"/>
    </xf>
    <xf numFmtId="171" fontId="8" fillId="0"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74" fontId="11" fillId="0" borderId="0" xfId="0" applyFont="true" applyBorder="false" applyAlignment="true" applyProtection="false">
      <alignment horizontal="general" vertical="top" textRotation="0" wrapText="false" indent="0" shrinkToFit="false"/>
      <protection locked="true" hidden="false"/>
    </xf>
    <xf numFmtId="165" fontId="10" fillId="4" borderId="0" xfId="0" applyFont="true" applyBorder="false" applyAlignment="true" applyProtection="false">
      <alignment horizontal="general" vertical="top" textRotation="0" wrapText="false" indent="0" shrinkToFit="false"/>
      <protection locked="true" hidden="false"/>
    </xf>
    <xf numFmtId="165" fontId="8" fillId="4" borderId="0" xfId="0" applyFont="true" applyBorder="false" applyAlignment="true" applyProtection="false">
      <alignment horizontal="general" vertical="top" textRotation="0" wrapText="false" indent="0" shrinkToFit="false"/>
      <protection locked="true" hidden="false"/>
    </xf>
    <xf numFmtId="167" fontId="8" fillId="4" borderId="0" xfId="0" applyFont="true" applyBorder="false" applyAlignment="true" applyProtection="false">
      <alignment horizontal="general" vertical="top" textRotation="0" wrapText="false" indent="0" shrinkToFit="false"/>
      <protection locked="true" hidden="false"/>
    </xf>
    <xf numFmtId="167" fontId="9" fillId="4" borderId="0" xfId="0" applyFont="true" applyBorder="false" applyAlignment="true" applyProtection="false">
      <alignment horizontal="general" vertical="top" textRotation="0" wrapText="false" indent="0" shrinkToFit="false"/>
      <protection locked="true" hidden="false"/>
    </xf>
    <xf numFmtId="171" fontId="8" fillId="4"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top" textRotation="0" wrapText="false" indent="0" shrinkToFit="false"/>
      <protection locked="true" hidden="false"/>
    </xf>
    <xf numFmtId="168" fontId="11" fillId="3" borderId="0" xfId="0" applyFont="true" applyBorder="false" applyAlignment="true" applyProtection="false">
      <alignment horizontal="general" vertical="top" textRotation="0" wrapText="false" indent="0" shrinkToFit="false"/>
      <protection locked="true" hidden="false"/>
    </xf>
    <xf numFmtId="175" fontId="11"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6" fontId="8" fillId="4" borderId="0" xfId="0" applyFont="true" applyBorder="false" applyAlignment="true" applyProtection="false">
      <alignment horizontal="general" vertical="top" textRotation="0" wrapText="false" indent="0" shrinkToFit="false"/>
      <protection locked="true" hidden="false"/>
    </xf>
    <xf numFmtId="168" fontId="8" fillId="4"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right" vertical="bottom" textRotation="0" wrapText="false" indent="0" shrinkToFit="false"/>
      <protection locked="true" hidden="false"/>
    </xf>
    <xf numFmtId="176" fontId="8" fillId="0" borderId="0" xfId="0" applyFont="true" applyBorder="false" applyAlignment="true" applyProtection="false">
      <alignment horizontal="general" vertical="top" textRotation="0" wrapText="false" indent="0" shrinkToFit="false"/>
      <protection locked="true" hidden="false"/>
    </xf>
    <xf numFmtId="177" fontId="8" fillId="0" borderId="0" xfId="0" applyFont="true" applyBorder="false" applyAlignment="true" applyProtection="false">
      <alignment horizontal="general" vertical="top" textRotation="0" wrapText="false" indent="0" shrinkToFit="false"/>
      <protection locked="true" hidden="false"/>
    </xf>
    <xf numFmtId="166" fontId="11" fillId="3"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true" applyAlignment="true" applyProtection="false">
      <alignment horizontal="general" vertical="center" textRotation="0" wrapText="true" indent="0" shrinkToFit="false"/>
      <protection locked="true" hidden="false"/>
    </xf>
    <xf numFmtId="175" fontId="8" fillId="0" borderId="0" xfId="0" applyFont="true" applyBorder="false" applyAlignment="true" applyProtection="false">
      <alignment horizontal="general" vertical="top" textRotation="0" wrapText="false" indent="0" shrinkToFit="false"/>
      <protection locked="true" hidden="false"/>
    </xf>
    <xf numFmtId="178"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FF1FB"/>
      <rgbColor rgb="FF660066"/>
      <rgbColor rgb="FFFF8080"/>
      <rgbColor rgb="FF0B6FA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7A"/>
      <rgbColor rgb="FF969696"/>
      <rgbColor rgb="FF003366"/>
      <rgbColor rgb="FF339966"/>
      <rgbColor rgb="FF10202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62"/>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row>
    <row r="6" customFormat="false" ht="15" hidden="false" customHeight="false" outlineLevel="0" collapsed="false">
      <c r="A6" s="5" t="s">
        <v>6</v>
      </c>
      <c r="B6" s="6" t="n">
        <f aca="false">'Design study'!A16</f>
        <v>2</v>
      </c>
      <c r="C6" s="7" t="s">
        <v>7</v>
      </c>
    </row>
    <row r="7" customFormat="false" ht="15" hidden="false" customHeight="false" outlineLevel="0" collapsed="false">
      <c r="A7" s="5" t="s">
        <v>8</v>
      </c>
      <c r="B7" s="6" t="n">
        <f aca="false">'Design study'!D16</f>
        <v>33</v>
      </c>
      <c r="C7" s="7" t="s">
        <v>9</v>
      </c>
    </row>
    <row r="8" customFormat="false" ht="15" hidden="false" customHeight="false" outlineLevel="0" collapsed="false">
      <c r="A8" s="5" t="s">
        <v>10</v>
      </c>
      <c r="B8" s="8" t="n">
        <f aca="false">'Design study'!I16</f>
        <v>5.32842550437264</v>
      </c>
      <c r="C8" s="7" t="s">
        <v>11</v>
      </c>
    </row>
    <row r="9" customFormat="false" ht="15" hidden="false" customHeight="false" outlineLevel="0" collapsed="false">
      <c r="A9" s="5" t="s">
        <v>12</v>
      </c>
      <c r="B9" s="9" t="n">
        <f aca="false">Parts!C16</f>
        <v>2412</v>
      </c>
      <c r="C9" s="7" t="s">
        <v>13</v>
      </c>
    </row>
    <row r="10" customFormat="false" ht="15" hidden="false" customHeight="false" outlineLevel="0" collapsed="false">
      <c r="A10" s="5" t="s">
        <v>14</v>
      </c>
      <c r="B10" s="9" t="n">
        <f aca="false">'Design study'!I28</f>
        <v>4006</v>
      </c>
      <c r="C10" s="7" t="s">
        <v>15</v>
      </c>
    </row>
    <row r="11" customFormat="false" ht="15" hidden="false" customHeight="false" outlineLevel="0" collapsed="false">
      <c r="A11" s="5" t="s">
        <v>16</v>
      </c>
      <c r="B11" s="10" t="n">
        <f aca="false">Evidence!B48</f>
        <v>33.6132097525627</v>
      </c>
      <c r="C11" s="7" t="s">
        <v>17</v>
      </c>
    </row>
    <row r="12" customFormat="false" ht="15" hidden="false" customHeight="false" outlineLevel="0" collapsed="false">
      <c r="A12" s="5" t="s">
        <v>18</v>
      </c>
      <c r="B12" s="10" t="n">
        <f aca="false">Evidence!B51</f>
        <v>18.7522415390335</v>
      </c>
      <c r="C12" s="7" t="s">
        <v>19</v>
      </c>
    </row>
    <row r="13" customFormat="false" ht="15" hidden="false" customHeight="false" outlineLevel="0" collapsed="false">
      <c r="A13" s="5" t="s">
        <v>20</v>
      </c>
      <c r="B13" s="6" t="n">
        <f aca="false">Evidence!I31</f>
        <v>0</v>
      </c>
      <c r="C13" s="7" t="s">
        <v>21</v>
      </c>
    </row>
    <row r="14" customFormat="false" ht="15" hidden="false" customHeight="false" outlineLevel="0" collapsed="false">
      <c r="A14" s="5" t="s">
        <v>22</v>
      </c>
      <c r="B14" s="8" t="n">
        <f aca="false">Evidence!D64</f>
        <v>1.1341300553378</v>
      </c>
      <c r="C14" s="7" t="s">
        <v>23</v>
      </c>
    </row>
    <row r="15" customFormat="false" ht="15" hidden="false" customHeight="false" outlineLevel="0" collapsed="false">
      <c r="A15" s="5" t="s">
        <v>24</v>
      </c>
      <c r="B15" s="10" t="n">
        <f aca="false">'Build cost'!B49</f>
        <v>35.38284</v>
      </c>
      <c r="C15" s="7" t="s">
        <v>25</v>
      </c>
    </row>
    <row r="16" customFormat="false" ht="15" hidden="false" customHeight="false" outlineLevel="0" collapsed="false">
      <c r="A16" s="5" t="s">
        <v>26</v>
      </c>
      <c r="B16" s="10" t="n">
        <f aca="false">'Build cost'!H23</f>
        <v>100.5</v>
      </c>
      <c r="C16" s="7" t="s">
        <v>27</v>
      </c>
    </row>
    <row r="17" customFormat="false" ht="15" hidden="false" customHeight="false" outlineLevel="0" collapsed="false">
      <c r="A17" s="5" t="s">
        <v>28</v>
      </c>
      <c r="B17" s="11" t="n">
        <f aca="false">'Build cost'!B68</f>
        <v>0.0195075408401529</v>
      </c>
      <c r="C17" s="7" t="s">
        <v>29</v>
      </c>
    </row>
    <row r="18" customFormat="false" ht="15" hidden="false" customHeight="false" outlineLevel="0" collapsed="false">
      <c r="A18" s="5" t="s">
        <v>30</v>
      </c>
      <c r="B18" s="10" t="n">
        <f aca="false">Market!B18</f>
        <v>41.31303</v>
      </c>
      <c r="C18" s="7" t="s">
        <v>31</v>
      </c>
    </row>
    <row r="19" customFormat="false" ht="15" hidden="false" customHeight="false" outlineLevel="0" collapsed="false">
      <c r="A19" s="5" t="s">
        <v>32</v>
      </c>
      <c r="B19" s="10" t="n">
        <f aca="false">Market!B19</f>
        <v>15.55323</v>
      </c>
      <c r="C19" s="7" t="s">
        <v>33</v>
      </c>
    </row>
    <row r="20" customFormat="false" ht="15" hidden="false" customHeight="false" outlineLevel="0" collapsed="false">
      <c r="A20" s="5" t="s">
        <v>34</v>
      </c>
      <c r="B20" s="6" t="n">
        <f aca="false">Market!B20</f>
        <v>130</v>
      </c>
      <c r="C20" s="7" t="s">
        <v>35</v>
      </c>
    </row>
    <row r="21" customFormat="false" ht="15" hidden="false" customHeight="false" outlineLevel="0" collapsed="false">
      <c r="A21" s="5" t="s">
        <v>36</v>
      </c>
      <c r="B21" s="10" t="n">
        <f aca="false">Market!B37</f>
        <v>10.9713536672088</v>
      </c>
      <c r="C21" s="7" t="s">
        <v>37</v>
      </c>
    </row>
    <row r="22" customFormat="false" ht="15" hidden="false" customHeight="false" outlineLevel="0" collapsed="false">
      <c r="A22" s="5" t="s">
        <v>38</v>
      </c>
      <c r="B22" s="6" t="n">
        <f aca="false">Market!E37</f>
        <v>31</v>
      </c>
      <c r="C22" s="7" t="s">
        <v>39</v>
      </c>
    </row>
    <row r="24" customFormat="false" ht="15" hidden="false" customHeight="false" outlineLevel="0" collapsed="false">
      <c r="A24" s="3" t="s">
        <v>40</v>
      </c>
    </row>
    <row r="25" customFormat="false" ht="15" hidden="false" customHeight="true" outlineLevel="0" collapsed="false">
      <c r="A25" s="12" t="s">
        <v>41</v>
      </c>
      <c r="B25" s="13" t="s">
        <v>42</v>
      </c>
      <c r="C25" s="13"/>
    </row>
    <row r="26" customFormat="false" ht="15" hidden="false" customHeight="true" outlineLevel="0" collapsed="false">
      <c r="A26" s="12" t="s">
        <v>43</v>
      </c>
      <c r="B26" s="13" t="s">
        <v>44</v>
      </c>
      <c r="C26" s="13"/>
    </row>
    <row r="27" customFormat="false" ht="15" hidden="false" customHeight="true" outlineLevel="0" collapsed="false">
      <c r="A27" s="12" t="s">
        <v>45</v>
      </c>
      <c r="B27" s="13" t="s">
        <v>46</v>
      </c>
      <c r="C27" s="13"/>
    </row>
    <row r="28" customFormat="false" ht="15" hidden="false" customHeight="true" outlineLevel="0" collapsed="false">
      <c r="A28" s="12" t="s">
        <v>47</v>
      </c>
      <c r="B28" s="13" t="s">
        <v>48</v>
      </c>
      <c r="C28" s="13"/>
    </row>
    <row r="29" customFormat="false" ht="15" hidden="false" customHeight="true" outlineLevel="0" collapsed="false">
      <c r="A29" s="12" t="s">
        <v>49</v>
      </c>
      <c r="B29" s="13" t="s">
        <v>50</v>
      </c>
      <c r="C29" s="13"/>
    </row>
    <row r="30" customFormat="false" ht="15" hidden="false" customHeight="true" outlineLevel="0" collapsed="false">
      <c r="A30" s="12" t="s">
        <v>51</v>
      </c>
      <c r="B30" s="13" t="s">
        <v>52</v>
      </c>
      <c r="C30" s="13"/>
    </row>
    <row r="32" customFormat="false" ht="15" hidden="false" customHeight="false" outlineLevel="0" collapsed="false">
      <c r="A32" s="3" t="s">
        <v>53</v>
      </c>
    </row>
    <row r="33" customFormat="false" ht="15" hidden="false" customHeight="true" outlineLevel="0" collapsed="false">
      <c r="A33" s="14" t="s">
        <v>54</v>
      </c>
      <c r="B33" s="13" t="s">
        <v>55</v>
      </c>
      <c r="C33" s="13"/>
    </row>
    <row r="34" customFormat="false" ht="15" hidden="false" customHeight="true" outlineLevel="0" collapsed="false">
      <c r="A34" s="5" t="s">
        <v>56</v>
      </c>
      <c r="B34" s="13" t="s">
        <v>57</v>
      </c>
      <c r="C34" s="13"/>
    </row>
    <row r="35" customFormat="false" ht="15" hidden="false" customHeight="true" outlineLevel="0" collapsed="false">
      <c r="A35" s="15" t="s">
        <v>58</v>
      </c>
      <c r="B35" s="13" t="s">
        <v>59</v>
      </c>
      <c r="C35" s="13"/>
    </row>
    <row r="36" customFormat="false" ht="15" hidden="false" customHeight="true" outlineLevel="0" collapsed="false">
      <c r="A36" s="16" t="s">
        <v>60</v>
      </c>
      <c r="B36" s="13" t="s">
        <v>61</v>
      </c>
      <c r="C36" s="13"/>
    </row>
  </sheetData>
  <mergeCells count="10">
    <mergeCell ref="B25:C25"/>
    <mergeCell ref="B26:C26"/>
    <mergeCell ref="B27:C27"/>
    <mergeCell ref="B28:C28"/>
    <mergeCell ref="B29:C29"/>
    <mergeCell ref="B30:C30"/>
    <mergeCell ref="B33:C33"/>
    <mergeCell ref="B34:C34"/>
    <mergeCell ref="B35:C35"/>
    <mergeCell ref="B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10" min="3" style="0" width="12"/>
  </cols>
  <sheetData>
    <row r="1" customFormat="false" ht="18.55" hidden="false" customHeight="false" outlineLevel="0" collapsed="false">
      <c r="A1" s="1" t="s">
        <v>62</v>
      </c>
    </row>
    <row r="2" customFormat="false" ht="15" hidden="false" customHeight="false" outlineLevel="0" collapsed="false">
      <c r="A2" s="2" t="s">
        <v>63</v>
      </c>
    </row>
    <row r="4" customFormat="false" ht="15" hidden="false" customHeight="false" outlineLevel="0" collapsed="false">
      <c r="A4" s="3" t="s">
        <v>64</v>
      </c>
    </row>
    <row r="5" customFormat="false" ht="15" hidden="false" customHeight="false" outlineLevel="0" collapsed="false">
      <c r="A5" s="5" t="s">
        <v>65</v>
      </c>
      <c r="B5" s="17" t="n">
        <v>1.4</v>
      </c>
      <c r="C5" s="7" t="s">
        <v>66</v>
      </c>
    </row>
    <row r="6" customFormat="false" ht="15" hidden="false" customHeight="false" outlineLevel="0" collapsed="false">
      <c r="A6" s="5" t="s">
        <v>67</v>
      </c>
      <c r="B6" s="18" t="n">
        <v>0.2</v>
      </c>
      <c r="C6" s="7" t="s">
        <v>68</v>
      </c>
    </row>
    <row r="7" customFormat="false" ht="15" hidden="false" customHeight="false" outlineLevel="0" collapsed="false">
      <c r="A7" s="5" t="s">
        <v>69</v>
      </c>
      <c r="B7" s="19" t="n">
        <v>88</v>
      </c>
      <c r="C7" s="7" t="s">
        <v>70</v>
      </c>
    </row>
    <row r="8" customFormat="false" ht="15" hidden="false" customHeight="false" outlineLevel="0" collapsed="false">
      <c r="A8" s="5" t="s">
        <v>71</v>
      </c>
      <c r="B8" s="19" t="n">
        <v>3</v>
      </c>
    </row>
    <row r="10" customFormat="false" ht="15" hidden="false" customHeight="false" outlineLevel="0" collapsed="false">
      <c r="A10" s="3" t="s">
        <v>72</v>
      </c>
    </row>
    <row r="11" customFormat="false" ht="23.85" hidden="false" customHeight="false" outlineLevel="0" collapsed="false">
      <c r="A11" s="4" t="s">
        <v>73</v>
      </c>
      <c r="B11" s="4" t="s">
        <v>74</v>
      </c>
      <c r="C11" s="4" t="s">
        <v>75</v>
      </c>
      <c r="D11" s="4" t="s">
        <v>76</v>
      </c>
      <c r="E11" s="4" t="s">
        <v>77</v>
      </c>
      <c r="F11" s="4" t="s">
        <v>78</v>
      </c>
      <c r="G11" s="4" t="s">
        <v>79</v>
      </c>
      <c r="H11" s="4" t="s">
        <v>26</v>
      </c>
      <c r="I11" s="4" t="s">
        <v>80</v>
      </c>
      <c r="J11" s="4" t="s">
        <v>81</v>
      </c>
    </row>
    <row r="12" customFormat="false" ht="15" hidden="false" customHeight="false" outlineLevel="0" collapsed="false">
      <c r="A12" s="12" t="s">
        <v>82</v>
      </c>
      <c r="C12" s="20" t="n">
        <v>37</v>
      </c>
      <c r="D12" s="20" t="n">
        <v>25</v>
      </c>
      <c r="E12" s="20" t="n">
        <v>18.1</v>
      </c>
      <c r="F12" s="20" t="n">
        <v>11</v>
      </c>
      <c r="G12" s="20" t="n">
        <v>8</v>
      </c>
    </row>
    <row r="13" customFormat="false" ht="15" hidden="false" customHeight="false" outlineLevel="0" collapsed="false">
      <c r="A13" s="5" t="s">
        <v>83</v>
      </c>
      <c r="B13" s="5" t="s">
        <v>84</v>
      </c>
      <c r="C13" s="21" t="n">
        <v>0.5</v>
      </c>
      <c r="D13" s="21" t="n">
        <v>3</v>
      </c>
      <c r="E13" s="21" t="n">
        <v>0</v>
      </c>
      <c r="F13" s="21" t="n">
        <v>3</v>
      </c>
      <c r="G13" s="21" t="n">
        <v>6</v>
      </c>
      <c r="H13" s="22" t="n">
        <f aca="false">SUM(C13:G13)</f>
        <v>12.5</v>
      </c>
      <c r="I13" s="23" t="n">
        <f aca="false">SUMPRODUCT($C$12:$G$12,C13:G13)*$B$5</f>
        <v>244.3</v>
      </c>
      <c r="J13" s="24" t="n">
        <f aca="false">I13/100</f>
        <v>2.443</v>
      </c>
    </row>
    <row r="14" customFormat="false" ht="15" hidden="false" customHeight="false" outlineLevel="0" collapsed="false">
      <c r="A14" s="5" t="s">
        <v>85</v>
      </c>
      <c r="B14" s="5" t="s">
        <v>86</v>
      </c>
      <c r="C14" s="21" t="n">
        <v>1</v>
      </c>
      <c r="D14" s="21" t="n">
        <v>6</v>
      </c>
      <c r="E14" s="21" t="n">
        <v>3</v>
      </c>
      <c r="F14" s="21" t="n">
        <v>0</v>
      </c>
      <c r="G14" s="21" t="n">
        <v>0</v>
      </c>
      <c r="H14" s="22" t="n">
        <f aca="false">SUM(C14:G14)</f>
        <v>10</v>
      </c>
      <c r="I14" s="23" t="n">
        <f aca="false">SUMPRODUCT($C$12:$G$12,C14:G14)*$B$5</f>
        <v>337.82</v>
      </c>
      <c r="J14" s="24" t="n">
        <f aca="false">I14/100</f>
        <v>3.3782</v>
      </c>
    </row>
    <row r="15" customFormat="false" ht="23.85" hidden="false" customHeight="false" outlineLevel="0" collapsed="false">
      <c r="A15" s="5" t="s">
        <v>87</v>
      </c>
      <c r="B15" s="5" t="s">
        <v>88</v>
      </c>
      <c r="C15" s="21" t="n">
        <v>1</v>
      </c>
      <c r="D15" s="21" t="n">
        <v>8</v>
      </c>
      <c r="E15" s="21" t="n">
        <v>3</v>
      </c>
      <c r="F15" s="21" t="n">
        <v>0</v>
      </c>
      <c r="G15" s="21" t="n">
        <v>0</v>
      </c>
      <c r="H15" s="22" t="n">
        <f aca="false">SUM(C15:G15)</f>
        <v>12</v>
      </c>
      <c r="I15" s="23" t="n">
        <f aca="false">SUMPRODUCT($C$12:$G$12,C15:G15)*$B$5</f>
        <v>407.82</v>
      </c>
      <c r="J15" s="24" t="n">
        <f aca="false">I15/100</f>
        <v>4.0782</v>
      </c>
    </row>
    <row r="16" customFormat="false" ht="15" hidden="false" customHeight="false" outlineLevel="0" collapsed="false">
      <c r="A16" s="5" t="s">
        <v>89</v>
      </c>
      <c r="B16" s="5" t="s">
        <v>90</v>
      </c>
      <c r="C16" s="21" t="n">
        <v>1</v>
      </c>
      <c r="D16" s="21" t="n">
        <v>0</v>
      </c>
      <c r="E16" s="21" t="n">
        <v>10</v>
      </c>
      <c r="F16" s="21" t="n">
        <v>6</v>
      </c>
      <c r="G16" s="21" t="n">
        <v>0</v>
      </c>
      <c r="H16" s="22" t="n">
        <f aca="false">SUM(C16:G16)</f>
        <v>17</v>
      </c>
      <c r="I16" s="23" t="n">
        <f aca="false">SUMPRODUCT($C$12:$G$12,C16:G16)*$B$5</f>
        <v>397.6</v>
      </c>
      <c r="J16" s="24" t="n">
        <f aca="false">I16/100</f>
        <v>3.976</v>
      </c>
    </row>
    <row r="17" customFormat="false" ht="15" hidden="false" customHeight="false" outlineLevel="0" collapsed="false">
      <c r="A17" s="5" t="s">
        <v>91</v>
      </c>
      <c r="B17" s="5" t="s">
        <v>92</v>
      </c>
      <c r="C17" s="21" t="n">
        <v>0</v>
      </c>
      <c r="D17" s="21" t="n">
        <v>1</v>
      </c>
      <c r="E17" s="21" t="n">
        <v>4</v>
      </c>
      <c r="F17" s="21" t="n">
        <v>4</v>
      </c>
      <c r="G17" s="21" t="n">
        <v>0</v>
      </c>
      <c r="H17" s="22" t="n">
        <f aca="false">SUM(C17:G17)</f>
        <v>9</v>
      </c>
      <c r="I17" s="23" t="n">
        <f aca="false">SUMPRODUCT($C$12:$G$12,C17:G17)*$B$5</f>
        <v>197.96</v>
      </c>
      <c r="J17" s="24" t="n">
        <f aca="false">I17/100</f>
        <v>1.9796</v>
      </c>
    </row>
    <row r="18" customFormat="false" ht="15" hidden="false" customHeight="false" outlineLevel="0" collapsed="false">
      <c r="A18" s="5" t="s">
        <v>93</v>
      </c>
      <c r="B18" s="5" t="s">
        <v>94</v>
      </c>
      <c r="C18" s="21" t="n">
        <v>0</v>
      </c>
      <c r="D18" s="21" t="n">
        <v>2</v>
      </c>
      <c r="E18" s="21" t="n">
        <v>6</v>
      </c>
      <c r="F18" s="21" t="n">
        <v>4</v>
      </c>
      <c r="G18" s="21" t="n">
        <v>0</v>
      </c>
      <c r="H18" s="22" t="n">
        <f aca="false">SUM(C18:G18)</f>
        <v>12</v>
      </c>
      <c r="I18" s="23" t="n">
        <f aca="false">SUMPRODUCT($C$12:$G$12,C18:G18)*$B$5</f>
        <v>283.64</v>
      </c>
      <c r="J18" s="24" t="n">
        <f aca="false">I18/100</f>
        <v>2.8364</v>
      </c>
    </row>
    <row r="19" customFormat="false" ht="15" hidden="false" customHeight="false" outlineLevel="0" collapsed="false">
      <c r="A19" s="5" t="s">
        <v>95</v>
      </c>
      <c r="B19" s="5" t="s">
        <v>96</v>
      </c>
      <c r="C19" s="21" t="n">
        <v>0</v>
      </c>
      <c r="D19" s="21" t="n">
        <v>0</v>
      </c>
      <c r="E19" s="21" t="n">
        <v>2</v>
      </c>
      <c r="F19" s="21" t="n">
        <v>1</v>
      </c>
      <c r="G19" s="21" t="n">
        <v>0</v>
      </c>
      <c r="H19" s="22" t="n">
        <f aca="false">SUM(C19:G19)</f>
        <v>3</v>
      </c>
      <c r="I19" s="23" t="n">
        <f aca="false">SUMPRODUCT($C$12:$G$12,C19:G19)*$B$5</f>
        <v>66.08</v>
      </c>
      <c r="J19" s="24" t="n">
        <f aca="false">I19/100</f>
        <v>0.6608</v>
      </c>
    </row>
    <row r="20" customFormat="false" ht="15" hidden="false" customHeight="false" outlineLevel="0" collapsed="false">
      <c r="A20" s="5" t="s">
        <v>97</v>
      </c>
      <c r="B20" s="5" t="s">
        <v>98</v>
      </c>
      <c r="C20" s="21" t="n">
        <v>0</v>
      </c>
      <c r="D20" s="21" t="n">
        <v>0</v>
      </c>
      <c r="E20" s="21" t="n">
        <v>5</v>
      </c>
      <c r="F20" s="21" t="n">
        <v>5</v>
      </c>
      <c r="G20" s="21" t="n">
        <v>0</v>
      </c>
      <c r="H20" s="22" t="n">
        <f aca="false">SUM(C20:G20)</f>
        <v>10</v>
      </c>
      <c r="I20" s="23" t="n">
        <f aca="false">SUMPRODUCT($C$12:$G$12,C20:G20)*$B$5</f>
        <v>203.7</v>
      </c>
      <c r="J20" s="24" t="n">
        <f aca="false">I20/100</f>
        <v>2.037</v>
      </c>
    </row>
    <row r="21" customFormat="false" ht="15" hidden="false" customHeight="false" outlineLevel="0" collapsed="false">
      <c r="A21" s="5" t="s">
        <v>99</v>
      </c>
      <c r="B21" s="5" t="s">
        <v>100</v>
      </c>
      <c r="C21" s="21" t="n">
        <v>0</v>
      </c>
      <c r="D21" s="21" t="n">
        <v>0</v>
      </c>
      <c r="E21" s="21" t="n">
        <v>0</v>
      </c>
      <c r="F21" s="21" t="n">
        <v>6</v>
      </c>
      <c r="G21" s="21" t="n">
        <v>3</v>
      </c>
      <c r="H21" s="22" t="n">
        <f aca="false">SUM(C21:G21)</f>
        <v>9</v>
      </c>
      <c r="I21" s="23" t="n">
        <f aca="false">SUMPRODUCT($C$12:$G$12,C21:G21)*$B$5</f>
        <v>126</v>
      </c>
      <c r="J21" s="24" t="n">
        <f aca="false">I21/100</f>
        <v>1.26</v>
      </c>
    </row>
    <row r="22" customFormat="false" ht="15" hidden="false" customHeight="false" outlineLevel="0" collapsed="false">
      <c r="A22" s="5" t="s">
        <v>101</v>
      </c>
      <c r="B22" s="5" t="s">
        <v>102</v>
      </c>
      <c r="C22" s="21" t="n">
        <v>3</v>
      </c>
      <c r="D22" s="21" t="n">
        <v>0</v>
      </c>
      <c r="E22" s="21" t="n">
        <v>3</v>
      </c>
      <c r="F22" s="21" t="n">
        <v>0</v>
      </c>
      <c r="G22" s="21" t="n">
        <v>0</v>
      </c>
      <c r="H22" s="22" t="n">
        <f aca="false">SUM(C22:G22)</f>
        <v>6</v>
      </c>
      <c r="I22" s="23" t="n">
        <f aca="false">SUMPRODUCT($C$12:$G$12,C22:G22)*$B$5</f>
        <v>231.42</v>
      </c>
      <c r="J22" s="24" t="n">
        <f aca="false">I22/100</f>
        <v>2.3142</v>
      </c>
    </row>
    <row r="23" customFormat="false" ht="15" hidden="false" customHeight="false" outlineLevel="0" collapsed="false">
      <c r="A23" s="12" t="s">
        <v>103</v>
      </c>
      <c r="H23" s="25" t="n">
        <f aca="false">SUM(H13:H22)</f>
        <v>100.5</v>
      </c>
      <c r="I23" s="26" t="n">
        <f aca="false">SUM(I13:I22)</f>
        <v>2496.34</v>
      </c>
      <c r="J23" s="27" t="n">
        <f aca="false">SUM(J13:J22)</f>
        <v>24.9634</v>
      </c>
    </row>
    <row r="25" customFormat="false" ht="15" hidden="false" customHeight="false" outlineLevel="0" collapsed="false">
      <c r="A25" s="3" t="s">
        <v>104</v>
      </c>
    </row>
    <row r="26" customFormat="false" ht="15" hidden="false" customHeight="false" outlineLevel="0" collapsed="false">
      <c r="A26" s="4" t="s">
        <v>105</v>
      </c>
      <c r="B26" s="4" t="s">
        <v>106</v>
      </c>
      <c r="C26" s="4" t="s">
        <v>107</v>
      </c>
      <c r="D26" s="4" t="s">
        <v>108</v>
      </c>
      <c r="E26" s="4" t="s">
        <v>109</v>
      </c>
      <c r="F26" s="4" t="s">
        <v>80</v>
      </c>
    </row>
    <row r="27" customFormat="false" ht="15" hidden="false" customHeight="false" outlineLevel="0" collapsed="false">
      <c r="A27" s="5" t="s">
        <v>110</v>
      </c>
      <c r="B27" s="5" t="s">
        <v>111</v>
      </c>
      <c r="C27" s="28" t="n">
        <v>500</v>
      </c>
      <c r="D27" s="28" t="n">
        <v>1206</v>
      </c>
      <c r="E27" s="28"/>
      <c r="F27" s="23" t="n">
        <f aca="false">C27*IF(D27&lt;&gt;"",D27,E27*$B$7)/100000</f>
        <v>6.03</v>
      </c>
    </row>
    <row r="28" customFormat="false" ht="15" hidden="false" customHeight="false" outlineLevel="0" collapsed="false">
      <c r="A28" s="5" t="s">
        <v>112</v>
      </c>
      <c r="B28" s="5" t="s">
        <v>111</v>
      </c>
      <c r="C28" s="28" t="n">
        <v>5</v>
      </c>
      <c r="D28" s="28"/>
      <c r="E28" s="28" t="n">
        <v>3000</v>
      </c>
      <c r="F28" s="23" t="n">
        <f aca="false">C28*IF(D28&lt;&gt;"",D28,E28*$B$7)/100000</f>
        <v>13.2</v>
      </c>
    </row>
    <row r="29" customFormat="false" ht="15" hidden="false" customHeight="false" outlineLevel="0" collapsed="false">
      <c r="A29" s="5" t="s">
        <v>113</v>
      </c>
      <c r="B29" s="5" t="s">
        <v>114</v>
      </c>
      <c r="C29" s="28" t="n">
        <v>4</v>
      </c>
      <c r="D29" s="29" t="n">
        <v>1200000</v>
      </c>
      <c r="E29" s="28"/>
      <c r="F29" s="23" t="n">
        <f aca="false">C29*IF(D29&lt;&gt;"",D29,E29*$B$7)/100000</f>
        <v>48</v>
      </c>
    </row>
    <row r="30" customFormat="false" ht="15" hidden="false" customHeight="false" outlineLevel="0" collapsed="false">
      <c r="A30" s="5" t="s">
        <v>115</v>
      </c>
      <c r="B30" s="5" t="s">
        <v>114</v>
      </c>
      <c r="C30" s="28" t="n">
        <v>4</v>
      </c>
      <c r="D30" s="29" t="n">
        <v>500000</v>
      </c>
      <c r="E30" s="28"/>
      <c r="F30" s="23" t="n">
        <f aca="false">C30*IF(D30&lt;&gt;"",D30,E30*$B$7)/100000</f>
        <v>20</v>
      </c>
    </row>
    <row r="31" customFormat="false" ht="15" hidden="false" customHeight="false" outlineLevel="0" collapsed="false">
      <c r="A31" s="5" t="s">
        <v>116</v>
      </c>
      <c r="B31" s="5" t="s">
        <v>114</v>
      </c>
      <c r="C31" s="28" t="n">
        <v>1</v>
      </c>
      <c r="D31" s="29" t="n">
        <v>1500000</v>
      </c>
      <c r="E31" s="28"/>
      <c r="F31" s="23" t="n">
        <f aca="false">C31*IF(D31&lt;&gt;"",D31,E31*$B$7)/100000</f>
        <v>15</v>
      </c>
    </row>
    <row r="32" customFormat="false" ht="15" hidden="false" customHeight="false" outlineLevel="0" collapsed="false">
      <c r="A32" s="12" t="s">
        <v>117</v>
      </c>
      <c r="F32" s="26" t="n">
        <f aca="false">SUM(F27:F31)</f>
        <v>102.23</v>
      </c>
    </row>
    <row r="34" customFormat="false" ht="15" hidden="false" customHeight="false" outlineLevel="0" collapsed="false">
      <c r="A34" s="3" t="s">
        <v>118</v>
      </c>
    </row>
    <row r="35" customFormat="false" ht="15" hidden="false" customHeight="false" outlineLevel="0" collapsed="false">
      <c r="A35" s="4" t="s">
        <v>105</v>
      </c>
      <c r="B35" s="4" t="s">
        <v>106</v>
      </c>
      <c r="C35" s="4" t="s">
        <v>119</v>
      </c>
      <c r="D35" s="4" t="s">
        <v>120</v>
      </c>
    </row>
    <row r="36" customFormat="false" ht="15" hidden="false" customHeight="false" outlineLevel="0" collapsed="false">
      <c r="A36" s="5" t="s">
        <v>121</v>
      </c>
      <c r="B36" s="5" t="s">
        <v>114</v>
      </c>
      <c r="C36" s="19" t="n">
        <v>30</v>
      </c>
      <c r="D36" s="30" t="n">
        <f aca="false">C36*$B$8</f>
        <v>90</v>
      </c>
    </row>
    <row r="37" customFormat="false" ht="15" hidden="false" customHeight="false" outlineLevel="0" collapsed="false">
      <c r="A37" s="5" t="s">
        <v>122</v>
      </c>
      <c r="B37" s="5" t="s">
        <v>114</v>
      </c>
      <c r="C37" s="19" t="n">
        <v>40</v>
      </c>
      <c r="D37" s="30" t="n">
        <f aca="false">C37*$B$8</f>
        <v>120</v>
      </c>
    </row>
    <row r="38" customFormat="false" ht="15" hidden="false" customHeight="false" outlineLevel="0" collapsed="false">
      <c r="A38" s="5" t="s">
        <v>123</v>
      </c>
      <c r="B38" s="5" t="s">
        <v>114</v>
      </c>
      <c r="C38" s="19" t="n">
        <v>30</v>
      </c>
      <c r="D38" s="30" t="n">
        <f aca="false">C38*$B$8</f>
        <v>90</v>
      </c>
    </row>
    <row r="39" customFormat="false" ht="15" hidden="false" customHeight="false" outlineLevel="0" collapsed="false">
      <c r="A39" s="12" t="s">
        <v>124</v>
      </c>
      <c r="D39" s="31" t="n">
        <f aca="false">SUM(D36:D38)</f>
        <v>300</v>
      </c>
    </row>
    <row r="40" customFormat="false" ht="15" hidden="false" customHeight="false" outlineLevel="0" collapsed="false">
      <c r="A40" s="5" t="s">
        <v>125</v>
      </c>
      <c r="B40" s="5" t="s">
        <v>114</v>
      </c>
      <c r="D40" s="29" t="n">
        <v>50</v>
      </c>
    </row>
    <row r="42" customFormat="false" ht="15" hidden="false" customHeight="false" outlineLevel="0" collapsed="false">
      <c r="A42" s="3" t="s">
        <v>126</v>
      </c>
    </row>
    <row r="43" customFormat="false" ht="15" hidden="false" customHeight="false" outlineLevel="0" collapsed="false">
      <c r="A43" s="4" t="s">
        <v>127</v>
      </c>
      <c r="B43" s="4" t="s">
        <v>81</v>
      </c>
      <c r="C43" s="4" t="s">
        <v>128</v>
      </c>
    </row>
    <row r="44" customFormat="false" ht="15" hidden="false" customHeight="false" outlineLevel="0" collapsed="false">
      <c r="A44" s="5" t="s">
        <v>129</v>
      </c>
      <c r="B44" s="24" t="n">
        <f aca="false">I23/100</f>
        <v>24.9634</v>
      </c>
      <c r="C44" s="32" t="n">
        <f aca="false">B44/$B$49</f>
        <v>0.705522790143471</v>
      </c>
    </row>
    <row r="45" customFormat="false" ht="15" hidden="false" customHeight="false" outlineLevel="0" collapsed="false">
      <c r="A45" s="5" t="s">
        <v>104</v>
      </c>
      <c r="B45" s="24" t="n">
        <f aca="false">F32/100</f>
        <v>1.0223</v>
      </c>
      <c r="C45" s="32" t="n">
        <f aca="false">B45/$B$49</f>
        <v>0.0288925366081411</v>
      </c>
    </row>
    <row r="46" customFormat="false" ht="15" hidden="false" customHeight="false" outlineLevel="0" collapsed="false">
      <c r="A46" s="5" t="s">
        <v>130</v>
      </c>
      <c r="B46" s="24" t="n">
        <f aca="false">D39/100</f>
        <v>3</v>
      </c>
      <c r="C46" s="32" t="n">
        <f aca="false">B46/$B$49</f>
        <v>0.0847868627843328</v>
      </c>
    </row>
    <row r="47" customFormat="false" ht="15" hidden="false" customHeight="false" outlineLevel="0" collapsed="false">
      <c r="A47" s="5" t="s">
        <v>131</v>
      </c>
      <c r="B47" s="24" t="n">
        <f aca="false">D40/100</f>
        <v>0.5</v>
      </c>
      <c r="C47" s="32" t="n">
        <f aca="false">B47/$B$49</f>
        <v>0.0141311437973888</v>
      </c>
    </row>
    <row r="48" customFormat="false" ht="15" hidden="false" customHeight="false" outlineLevel="0" collapsed="false">
      <c r="A48" s="5" t="s">
        <v>67</v>
      </c>
      <c r="B48" s="24" t="n">
        <f aca="false">SUM(B44:B47)*$B$6</f>
        <v>5.89714</v>
      </c>
      <c r="C48" s="32" t="n">
        <f aca="false">B48/$B$49</f>
        <v>0.166666666666667</v>
      </c>
    </row>
    <row r="49" customFormat="false" ht="15" hidden="false" customHeight="false" outlineLevel="0" collapsed="false">
      <c r="A49" s="12" t="s">
        <v>132</v>
      </c>
      <c r="B49" s="27" t="n">
        <f aca="false">SUM(B44:B48)</f>
        <v>35.38284</v>
      </c>
      <c r="C49" s="32" t="n">
        <f aca="false">B49/$B$49</f>
        <v>1</v>
      </c>
    </row>
    <row r="50" customFormat="false" ht="15" hidden="false" customHeight="false" outlineLevel="0" collapsed="false">
      <c r="A50" s="5" t="s">
        <v>133</v>
      </c>
      <c r="B50" s="22" t="n">
        <f aca="false">B49*10/$B$7</f>
        <v>4.02077727272727</v>
      </c>
    </row>
    <row r="51" customFormat="false" ht="15" hidden="false" customHeight="false" outlineLevel="0" collapsed="false">
      <c r="A51" s="5" t="s">
        <v>134</v>
      </c>
      <c r="B51" s="22" t="n">
        <f aca="false">H23/$B$8</f>
        <v>33.5</v>
      </c>
    </row>
    <row r="53" customFormat="false" ht="15" hidden="false" customHeight="false" outlineLevel="0" collapsed="false">
      <c r="A53" s="3" t="s">
        <v>135</v>
      </c>
    </row>
    <row r="54" customFormat="false" ht="15" hidden="false" customHeight="false" outlineLevel="0" collapsed="false">
      <c r="A54" s="5" t="s">
        <v>136</v>
      </c>
      <c r="B54" s="19" t="n">
        <v>60</v>
      </c>
    </row>
    <row r="55" customFormat="false" ht="15" hidden="false" customHeight="false" outlineLevel="0" collapsed="false">
      <c r="A55" s="5" t="s">
        <v>137</v>
      </c>
      <c r="B55" s="19" t="n">
        <v>60</v>
      </c>
    </row>
    <row r="56" customFormat="false" ht="15" hidden="false" customHeight="false" outlineLevel="0" collapsed="false">
      <c r="A56" s="5" t="s">
        <v>138</v>
      </c>
      <c r="B56" s="19" t="n">
        <v>20</v>
      </c>
    </row>
    <row r="57" customFormat="false" ht="15" hidden="false" customHeight="false" outlineLevel="0" collapsed="false">
      <c r="A57" s="5" t="s">
        <v>139</v>
      </c>
      <c r="B57" s="19" t="n">
        <v>30</v>
      </c>
    </row>
    <row r="58" customFormat="false" ht="15" hidden="false" customHeight="false" outlineLevel="0" collapsed="false">
      <c r="A58" s="5" t="s">
        <v>140</v>
      </c>
      <c r="B58" s="19" t="n">
        <v>10</v>
      </c>
    </row>
    <row r="59" customFormat="false" ht="15" hidden="false" customHeight="false" outlineLevel="0" collapsed="false">
      <c r="A59" s="5" t="s">
        <v>141</v>
      </c>
      <c r="B59" s="19" t="n">
        <v>20</v>
      </c>
    </row>
    <row r="60" customFormat="false" ht="15" hidden="false" customHeight="false" outlineLevel="0" collapsed="false">
      <c r="A60" s="12" t="s">
        <v>142</v>
      </c>
      <c r="B60" s="33" t="n">
        <f aca="false">SUM(B54:B59)</f>
        <v>200</v>
      </c>
    </row>
    <row r="61" customFormat="false" ht="15" hidden="false" customHeight="false" outlineLevel="0" collapsed="false">
      <c r="A61" s="5" t="s">
        <v>143</v>
      </c>
      <c r="B61" s="30" t="n">
        <f aca="false">2.94*B60^1.0997</f>
        <v>997.217787907167</v>
      </c>
    </row>
    <row r="62" customFormat="false" ht="15" hidden="false" customHeight="false" outlineLevel="0" collapsed="false">
      <c r="A62" s="5" t="s">
        <v>144</v>
      </c>
      <c r="B62" s="24" t="n">
        <f aca="false">B61/12*I23/H23/100</f>
        <v>20.6417467053414</v>
      </c>
    </row>
    <row r="63" customFormat="false" ht="15" hidden="false" customHeight="false" outlineLevel="0" collapsed="false">
      <c r="A63" s="5" t="s">
        <v>145</v>
      </c>
      <c r="B63" s="32" t="n">
        <f aca="false">B62/J23-1</f>
        <v>-0.173119578849779</v>
      </c>
      <c r="C63" s="7" t="s">
        <v>146</v>
      </c>
    </row>
    <row r="65" customFormat="false" ht="15" hidden="false" customHeight="false" outlineLevel="0" collapsed="false">
      <c r="A65" s="3" t="s">
        <v>147</v>
      </c>
    </row>
    <row r="66" customFormat="false" ht="15" hidden="false" customHeight="false" outlineLevel="0" collapsed="false">
      <c r="A66" s="5" t="s">
        <v>148</v>
      </c>
      <c r="B66" s="20" t="n">
        <v>206.114</v>
      </c>
    </row>
    <row r="67" customFormat="false" ht="15" hidden="false" customHeight="false" outlineLevel="0" collapsed="false">
      <c r="A67" s="5" t="s">
        <v>149</v>
      </c>
      <c r="B67" s="30" t="n">
        <f aca="false">B66*$B$7/10</f>
        <v>1813.8032</v>
      </c>
    </row>
    <row r="68" customFormat="false" ht="15" hidden="false" customHeight="false" outlineLevel="0" collapsed="false">
      <c r="A68" s="12" t="s">
        <v>150</v>
      </c>
      <c r="B68" s="34" t="n">
        <f aca="false">B49/B67</f>
        <v>0.0195075408401529</v>
      </c>
      <c r="C68" s="7"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62"/>
    <col collapsed="false" customWidth="true" hidden="false" outlineLevel="0" max="5" min="4" style="0" width="16"/>
  </cols>
  <sheetData>
    <row r="1" customFormat="false" ht="18.55" hidden="false" customHeight="false" outlineLevel="0" collapsed="false">
      <c r="A1" s="1" t="s">
        <v>152</v>
      </c>
    </row>
    <row r="2" customFormat="false" ht="15" hidden="false" customHeight="false" outlineLevel="0" collapsed="false">
      <c r="A2" s="2" t="s">
        <v>153</v>
      </c>
    </row>
    <row r="4" customFormat="false" ht="15" hidden="false" customHeight="false" outlineLevel="0" collapsed="false">
      <c r="A4" s="3" t="s">
        <v>154</v>
      </c>
    </row>
    <row r="5" customFormat="false" ht="15" hidden="false" customHeight="false" outlineLevel="0" collapsed="false">
      <c r="A5" s="4" t="s">
        <v>155</v>
      </c>
      <c r="B5" s="4" t="s">
        <v>156</v>
      </c>
      <c r="C5" s="4" t="s">
        <v>157</v>
      </c>
    </row>
    <row r="6" customFormat="false" ht="15" hidden="false" customHeight="false" outlineLevel="0" collapsed="false">
      <c r="A6" s="5" t="s">
        <v>158</v>
      </c>
      <c r="B6" s="28" t="n">
        <v>4131303</v>
      </c>
      <c r="C6" s="5"/>
    </row>
    <row r="7" customFormat="false" ht="15" hidden="false" customHeight="false" outlineLevel="0" collapsed="false">
      <c r="A7" s="5" t="s">
        <v>159</v>
      </c>
      <c r="B7" s="28" t="n">
        <v>605023</v>
      </c>
      <c r="C7" s="5"/>
    </row>
    <row r="8" customFormat="false" ht="15" hidden="false" customHeight="false" outlineLevel="0" collapsed="false">
      <c r="A8" s="5" t="s">
        <v>160</v>
      </c>
      <c r="B8" s="28" t="n">
        <v>574940</v>
      </c>
      <c r="C8" s="5"/>
    </row>
    <row r="9" customFormat="false" ht="15" hidden="false" customHeight="false" outlineLevel="0" collapsed="false">
      <c r="A9" s="5" t="s">
        <v>161</v>
      </c>
      <c r="B9" s="28" t="n">
        <v>375360</v>
      </c>
      <c r="C9" s="5"/>
    </row>
    <row r="10" customFormat="false" ht="23.85" hidden="false" customHeight="false" outlineLevel="0" collapsed="false">
      <c r="A10" s="5" t="s">
        <v>162</v>
      </c>
      <c r="B10" s="28" t="n">
        <v>2610</v>
      </c>
      <c r="C10" s="35" t="s">
        <v>163</v>
      </c>
    </row>
    <row r="12" customFormat="false" ht="15" hidden="false" customHeight="false" outlineLevel="0" collapsed="false">
      <c r="A12" s="3" t="s">
        <v>164</v>
      </c>
    </row>
    <row r="13" customFormat="false" ht="23.85" hidden="false" customHeight="false" outlineLevel="0" collapsed="false">
      <c r="A13" s="5" t="s">
        <v>165</v>
      </c>
      <c r="B13" s="29" t="n">
        <v>50000</v>
      </c>
      <c r="C13" s="35" t="s">
        <v>166</v>
      </c>
    </row>
    <row r="14" customFormat="false" ht="15" hidden="false" customHeight="false" outlineLevel="0" collapsed="false">
      <c r="A14" s="5" t="s">
        <v>167</v>
      </c>
      <c r="B14" s="18" t="n">
        <v>0.05</v>
      </c>
      <c r="C14" s="35" t="s">
        <v>168</v>
      </c>
    </row>
    <row r="16" customFormat="false" ht="15" hidden="false" customHeight="false" outlineLevel="0" collapsed="false">
      <c r="A16" s="3" t="s">
        <v>169</v>
      </c>
    </row>
    <row r="17" customFormat="false" ht="15" hidden="false" customHeight="false" outlineLevel="0" collapsed="false">
      <c r="A17" s="4" t="s">
        <v>170</v>
      </c>
      <c r="B17" s="4" t="s">
        <v>4</v>
      </c>
      <c r="C17" s="4" t="s">
        <v>171</v>
      </c>
    </row>
    <row r="18" customFormat="false" ht="15" hidden="false" customHeight="false" outlineLevel="0" collapsed="false">
      <c r="A18" s="12" t="s">
        <v>30</v>
      </c>
      <c r="B18" s="25" t="n">
        <f aca="false">B6/100000</f>
        <v>41.31303</v>
      </c>
      <c r="C18" s="35" t="s">
        <v>172</v>
      </c>
    </row>
    <row r="19" customFormat="false" ht="23.85" hidden="false" customHeight="false" outlineLevel="0" collapsed="false">
      <c r="A19" s="12" t="s">
        <v>32</v>
      </c>
      <c r="B19" s="25" t="n">
        <f aca="false">SUM(B7:B9)/100000</f>
        <v>15.55323</v>
      </c>
      <c r="C19" s="35" t="s">
        <v>173</v>
      </c>
    </row>
    <row r="20" customFormat="false" ht="15" hidden="false" customHeight="false" outlineLevel="0" collapsed="false">
      <c r="A20" s="12" t="s">
        <v>34</v>
      </c>
      <c r="B20" s="33" t="n">
        <f aca="false">ROUNDDOWN(B10*B14,0)</f>
        <v>130</v>
      </c>
      <c r="C20" s="35" t="s">
        <v>174</v>
      </c>
    </row>
    <row r="21" customFormat="false" ht="15" hidden="false" customHeight="false" outlineLevel="0" collapsed="false">
      <c r="A21" s="5" t="s">
        <v>175</v>
      </c>
      <c r="B21" s="22" t="n">
        <f aca="false">B20*B13/100000</f>
        <v>65</v>
      </c>
    </row>
    <row r="23" customFormat="false" ht="15" hidden="false" customHeight="false" outlineLevel="0" collapsed="false">
      <c r="A23" s="3" t="s">
        <v>176</v>
      </c>
    </row>
    <row r="24" customFormat="false" ht="23.85" hidden="false" customHeight="false" outlineLevel="0" collapsed="false">
      <c r="A24" s="12" t="s">
        <v>177</v>
      </c>
      <c r="B24" s="6" t="n">
        <f aca="false">'Build cost'!B49*100/B21</f>
        <v>54.4351384615385</v>
      </c>
      <c r="C24" s="35" t="s">
        <v>178</v>
      </c>
    </row>
    <row r="26" customFormat="false" ht="15" hidden="false" customHeight="false" outlineLevel="0" collapsed="false">
      <c r="A26" s="3" t="s">
        <v>179</v>
      </c>
    </row>
    <row r="27" customFormat="false" ht="15" hidden="false" customHeight="true" outlineLevel="0" collapsed="false">
      <c r="A27" s="13" t="s">
        <v>180</v>
      </c>
      <c r="B27" s="13"/>
      <c r="C27" s="13"/>
    </row>
    <row r="28" customFormat="false" ht="15" hidden="false" customHeight="false" outlineLevel="0" collapsed="false">
      <c r="A28" s="5" t="s">
        <v>181</v>
      </c>
      <c r="B28" s="28" t="n">
        <v>2625</v>
      </c>
    </row>
    <row r="29" customFormat="false" ht="15" hidden="false" customHeight="false" outlineLevel="0" collapsed="false">
      <c r="A29" s="5" t="s">
        <v>182</v>
      </c>
      <c r="B29" s="28" t="n">
        <v>3965</v>
      </c>
    </row>
    <row r="30" customFormat="false" ht="15" hidden="false" customHeight="false" outlineLevel="0" collapsed="false">
      <c r="A30" s="5" t="s">
        <v>183</v>
      </c>
      <c r="B30" s="28" t="n">
        <v>2625</v>
      </c>
    </row>
    <row r="31" customFormat="false" ht="15" hidden="false" customHeight="false" outlineLevel="0" collapsed="false">
      <c r="A31" s="5" t="s">
        <v>184</v>
      </c>
      <c r="B31" s="28" t="n">
        <v>3965</v>
      </c>
    </row>
    <row r="32" customFormat="false" ht="23.85" hidden="false" customHeight="false" outlineLevel="0" collapsed="false">
      <c r="A32" s="12" t="s">
        <v>185</v>
      </c>
      <c r="B32" s="10" t="n">
        <f aca="false">SUM(B28:B31)*'Build cost'!$B$7/100000</f>
        <v>11.5984</v>
      </c>
      <c r="C32" s="35" t="s">
        <v>186</v>
      </c>
    </row>
    <row r="33" customFormat="false" ht="23.85" hidden="false" customHeight="false" outlineLevel="0" collapsed="false">
      <c r="A33" s="5" t="s">
        <v>187</v>
      </c>
      <c r="B33" s="29" t="n">
        <v>500000</v>
      </c>
      <c r="C33" s="35" t="s">
        <v>188</v>
      </c>
    </row>
    <row r="34" customFormat="false" ht="15" hidden="false" customHeight="false" outlineLevel="0" collapsed="false">
      <c r="A34" s="5" t="s">
        <v>189</v>
      </c>
      <c r="B34" s="19" t="n">
        <v>5</v>
      </c>
      <c r="C34" s="35" t="s">
        <v>190</v>
      </c>
    </row>
    <row r="36" customFormat="false" ht="23.85" hidden="false" customHeight="false" outlineLevel="0" collapsed="false">
      <c r="A36" s="4" t="s">
        <v>191</v>
      </c>
      <c r="B36" s="4" t="s">
        <v>192</v>
      </c>
      <c r="C36" s="4" t="s">
        <v>193</v>
      </c>
      <c r="D36" s="4" t="s">
        <v>194</v>
      </c>
      <c r="E36" s="4" t="s">
        <v>195</v>
      </c>
    </row>
    <row r="37" customFormat="false" ht="23.85" hidden="false" customHeight="false" outlineLevel="0" collapsed="false">
      <c r="A37" s="12" t="s">
        <v>196</v>
      </c>
      <c r="B37" s="10" t="n">
        <f aca="false">('Build cost'!J13+'Build cost'!J18+'Build cost'!J21+('Build cost'!F32+'Build cost'!D36)/100+('Build cost'!D39-'Build cost'!D36+'Build cost'!D40)/100*('Build cost'!J13+'Build cost'!J18+'Build cost'!J21)/'Build cost'!J23)*(1+'Build cost'!$B$6)</f>
        <v>10.9713536672088</v>
      </c>
      <c r="C37" s="35" t="s">
        <v>197</v>
      </c>
      <c r="D37" s="22" t="n">
        <f aca="false">SUM(B$37:B37)</f>
        <v>10.9713536672088</v>
      </c>
      <c r="E37" s="36" t="n">
        <f aca="false">ROUNDUP(MAX(0,(D37*100/$B$34-$B$21)*100000/$B$33),0)</f>
        <v>31</v>
      </c>
    </row>
    <row r="38" customFormat="false" ht="35.05" hidden="false" customHeight="false" outlineLevel="0" collapsed="false">
      <c r="A38" s="12" t="s">
        <v>198</v>
      </c>
      <c r="B38" s="10" t="n">
        <f aca="false">('Build cost'!J14+'Build cost'!J17+'Build cost'!J19+'Build cost'!J20+0+('Build cost'!D39-'Build cost'!D36+'Build cost'!D40)/100*('Build cost'!J14+'Build cost'!J17+'Build cost'!J19+'Build cost'!J20)/'Build cost'!J23)*(1+'Build cost'!$B$6)</f>
        <v>10.6735328540183</v>
      </c>
      <c r="C38" s="35" t="s">
        <v>199</v>
      </c>
      <c r="D38" s="22" t="n">
        <f aca="false">SUM(B$37:B38)</f>
        <v>21.6448865212271</v>
      </c>
      <c r="E38" s="36" t="n">
        <f aca="false">ROUNDUP(MAX(0,(D38*100/$B$34-$B$21)*100000/$B$33),0)</f>
        <v>74</v>
      </c>
    </row>
    <row r="39" customFormat="false" ht="23.85" hidden="false" customHeight="false" outlineLevel="0" collapsed="false">
      <c r="A39" s="12" t="s">
        <v>200</v>
      </c>
      <c r="B39" s="10" t="n">
        <f aca="false">('Build cost'!J15+'Build cost'!J16+'Build cost'!J22+0+('Build cost'!D39-'Build cost'!D36+'Build cost'!D40)/100*('Build cost'!J15+'Build cost'!J16+'Build cost'!J22)/'Build cost'!J23)*(1+'Build cost'!$B$6)</f>
        <v>13.7379534787729</v>
      </c>
      <c r="C39" s="35" t="s">
        <v>201</v>
      </c>
      <c r="D39" s="22" t="n">
        <f aca="false">SUM(B$37:B39)</f>
        <v>35.38284</v>
      </c>
      <c r="E39" s="36" t="n">
        <f aca="false">ROUNDUP(MAX(0,(D39*100/$B$34-$B$21)*100000/$B$33),0)</f>
        <v>129</v>
      </c>
    </row>
    <row r="40" customFormat="false" ht="42" hidden="false" customHeight="true" outlineLevel="0" collapsed="false">
      <c r="A40" s="13" t="s">
        <v>202</v>
      </c>
      <c r="B40" s="13"/>
      <c r="C40" s="13"/>
      <c r="D40" s="13"/>
      <c r="E40" s="13"/>
    </row>
    <row r="42" customFormat="false" ht="15" hidden="false" customHeight="false" outlineLevel="0" collapsed="false">
      <c r="A42" s="5" t="s">
        <v>203</v>
      </c>
      <c r="B42" s="22" t="n">
        <f aca="false">B37/B34</f>
        <v>2.19427073344176</v>
      </c>
    </row>
    <row r="43" customFormat="false" ht="15" hidden="false" customHeight="false" outlineLevel="0" collapsed="false">
      <c r="A43" s="5" t="s">
        <v>204</v>
      </c>
      <c r="B43" s="36" t="n">
        <f aca="false">ROUNDUP(B37*10000000/B34/B33,0)</f>
        <v>44</v>
      </c>
    </row>
    <row r="44" customFormat="false" ht="15" hidden="false" customHeight="false" outlineLevel="0" collapsed="false">
      <c r="A44" s="5" t="s">
        <v>205</v>
      </c>
      <c r="B44" s="36" t="n">
        <f aca="false">ROUNDUP(B37*10000000/B34/B13,0)</f>
        <v>439</v>
      </c>
      <c r="C44" s="35" t="s">
        <v>206</v>
      </c>
    </row>
  </sheetData>
  <mergeCells count="2">
    <mergeCell ref="A27:C27"/>
    <mergeCell ref="A40:E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0"/>
    <col collapsed="false" customWidth="true" hidden="false" outlineLevel="0" max="5" min="5" style="0" width="16"/>
    <col collapsed="false" customWidth="true" hidden="false" outlineLevel="0" max="6" min="6" style="0" width="24"/>
    <col collapsed="false" customWidth="true" hidden="false" outlineLevel="0" max="7" min="7" style="0" width="54"/>
  </cols>
  <sheetData>
    <row r="1" customFormat="false" ht="18.55" hidden="false" customHeight="false" outlineLevel="0" collapsed="false">
      <c r="A1" s="1" t="s">
        <v>207</v>
      </c>
    </row>
    <row r="2" customFormat="false" ht="15" hidden="false" customHeight="false" outlineLevel="0" collapsed="false">
      <c r="A2" s="2" t="s">
        <v>208</v>
      </c>
    </row>
    <row r="4" customFormat="false" ht="15" hidden="false" customHeight="false" outlineLevel="0" collapsed="false">
      <c r="A4" s="3" t="s">
        <v>209</v>
      </c>
    </row>
    <row r="5" customFormat="false" ht="15" hidden="false" customHeight="false" outlineLevel="0" collapsed="false">
      <c r="A5" s="4" t="s">
        <v>210</v>
      </c>
      <c r="B5" s="4" t="s">
        <v>211</v>
      </c>
      <c r="C5" s="4" t="s">
        <v>212</v>
      </c>
      <c r="D5" s="4" t="s">
        <v>213</v>
      </c>
      <c r="E5" s="4" t="s">
        <v>214</v>
      </c>
      <c r="F5" s="4" t="s">
        <v>215</v>
      </c>
      <c r="G5" s="4" t="s">
        <v>157</v>
      </c>
    </row>
    <row r="6" customFormat="false" ht="15" hidden="false" customHeight="false" outlineLevel="0" collapsed="false">
      <c r="A6" s="5" t="s">
        <v>216</v>
      </c>
      <c r="B6" s="5" t="s">
        <v>217</v>
      </c>
      <c r="C6" s="37" t="n">
        <v>1206</v>
      </c>
      <c r="D6" s="5" t="s">
        <v>218</v>
      </c>
      <c r="E6" s="5" t="s">
        <v>219</v>
      </c>
      <c r="F6" s="5" t="s">
        <v>220</v>
      </c>
      <c r="G6" s="5" t="s">
        <v>221</v>
      </c>
    </row>
    <row r="7" customFormat="false" ht="15" hidden="false" customHeight="false" outlineLevel="0" collapsed="false">
      <c r="A7" s="5" t="s">
        <v>222</v>
      </c>
      <c r="B7" s="5" t="s">
        <v>223</v>
      </c>
      <c r="C7" s="37" t="n">
        <v>6.99</v>
      </c>
      <c r="D7" s="5" t="s">
        <v>224</v>
      </c>
      <c r="E7" s="5" t="s">
        <v>225</v>
      </c>
      <c r="F7" s="5" t="s">
        <v>226</v>
      </c>
      <c r="G7" s="5" t="s">
        <v>227</v>
      </c>
    </row>
    <row r="8" customFormat="false" ht="23.85" hidden="false" customHeight="false" outlineLevel="0" collapsed="false">
      <c r="A8" s="5" t="s">
        <v>228</v>
      </c>
      <c r="B8" s="5" t="s">
        <v>229</v>
      </c>
      <c r="C8" s="37" t="n">
        <v>920</v>
      </c>
      <c r="D8" s="5" t="s">
        <v>218</v>
      </c>
      <c r="E8" s="5" t="s">
        <v>225</v>
      </c>
      <c r="F8" s="5" t="s">
        <v>230</v>
      </c>
      <c r="G8" s="5" t="s">
        <v>231</v>
      </c>
    </row>
    <row r="9" customFormat="false" ht="46.25" hidden="false" customHeight="false" outlineLevel="0" collapsed="false">
      <c r="A9" s="5" t="s">
        <v>232</v>
      </c>
      <c r="B9" s="5" t="s">
        <v>233</v>
      </c>
      <c r="C9" s="37" t="n">
        <v>46</v>
      </c>
      <c r="D9" s="5" t="s">
        <v>224</v>
      </c>
      <c r="E9" s="5" t="s">
        <v>225</v>
      </c>
      <c r="F9" s="5" t="s">
        <v>234</v>
      </c>
      <c r="G9" s="5" t="s">
        <v>235</v>
      </c>
    </row>
    <row r="10" customFormat="false" ht="46.25" hidden="false" customHeight="false" outlineLevel="0" collapsed="false">
      <c r="A10" s="5" t="s">
        <v>236</v>
      </c>
      <c r="B10" s="5" t="s">
        <v>233</v>
      </c>
      <c r="C10" s="37" t="n">
        <v>52</v>
      </c>
      <c r="D10" s="5" t="s">
        <v>224</v>
      </c>
      <c r="E10" s="5" t="s">
        <v>225</v>
      </c>
      <c r="F10" s="5" t="s">
        <v>234</v>
      </c>
      <c r="G10" s="5" t="s">
        <v>237</v>
      </c>
    </row>
    <row r="11" customFormat="false" ht="46.25" hidden="false" customHeight="false" outlineLevel="0" collapsed="false">
      <c r="A11" s="5" t="s">
        <v>238</v>
      </c>
      <c r="G11" s="5" t="s">
        <v>239</v>
      </c>
    </row>
    <row r="13" customFormat="false" ht="15" hidden="false" customHeight="false" outlineLevel="0" collapsed="false">
      <c r="A13" s="3" t="s">
        <v>240</v>
      </c>
    </row>
    <row r="14" customFormat="false" ht="15" hidden="false" customHeight="false" outlineLevel="0" collapsed="false">
      <c r="A14" s="4" t="s">
        <v>241</v>
      </c>
      <c r="B14" s="4" t="s">
        <v>242</v>
      </c>
      <c r="C14" s="4" t="s">
        <v>243</v>
      </c>
      <c r="D14" s="4" t="s">
        <v>244</v>
      </c>
      <c r="E14" s="4" t="s">
        <v>245</v>
      </c>
      <c r="F14" s="4" t="s">
        <v>246</v>
      </c>
      <c r="G14" s="4" t="s">
        <v>157</v>
      </c>
    </row>
    <row r="15" customFormat="false" ht="15" hidden="false" customHeight="false" outlineLevel="0" collapsed="false">
      <c r="A15" s="36" t="n">
        <v>1</v>
      </c>
      <c r="B15" s="36" t="n">
        <f aca="false">A15*$B$19</f>
        <v>70</v>
      </c>
      <c r="C15" s="30" t="n">
        <f aca="false">A15*$C$6</f>
        <v>1206</v>
      </c>
      <c r="D15" s="9" t="n">
        <f aca="false">$C$10*'Build cost'!$B$7</f>
        <v>4576</v>
      </c>
      <c r="E15" s="30" t="n">
        <f aca="false">C15+D15</f>
        <v>5782</v>
      </c>
      <c r="F15" s="32" t="n">
        <f aca="false">1-E15/$E$18</f>
        <v>0.384893617021277</v>
      </c>
      <c r="G15" s="5" t="s">
        <v>247</v>
      </c>
    </row>
    <row r="16" customFormat="false" ht="15" hidden="false" customHeight="false" outlineLevel="0" collapsed="false">
      <c r="A16" s="38" t="n">
        <v>2</v>
      </c>
      <c r="B16" s="39" t="n">
        <f aca="false">A16*$B$19</f>
        <v>140</v>
      </c>
      <c r="C16" s="40" t="n">
        <f aca="false">A16*$C$6</f>
        <v>2412</v>
      </c>
      <c r="D16" s="41" t="n">
        <f aca="false">$C$9*'Build cost'!$B$7</f>
        <v>4048</v>
      </c>
      <c r="E16" s="40" t="n">
        <f aca="false">C16+D16</f>
        <v>6460</v>
      </c>
      <c r="F16" s="42" t="n">
        <f aca="false">1-E16/$E$18</f>
        <v>0.312765957446808</v>
      </c>
      <c r="G16" s="43" t="s">
        <v>248</v>
      </c>
    </row>
    <row r="17" customFormat="false" ht="15" hidden="false" customHeight="false" outlineLevel="0" collapsed="false">
      <c r="A17" s="36" t="n">
        <v>3</v>
      </c>
      <c r="B17" s="36" t="n">
        <f aca="false">A17*$B$19</f>
        <v>210</v>
      </c>
      <c r="C17" s="30" t="n">
        <f aca="false">A17*$C$6</f>
        <v>3618</v>
      </c>
      <c r="D17" s="9" t="n">
        <f aca="false">$C$10*'Build cost'!$B$7</f>
        <v>4576</v>
      </c>
      <c r="E17" s="30" t="n">
        <f aca="false">C17+D17</f>
        <v>8194</v>
      </c>
      <c r="F17" s="32" t="n">
        <f aca="false">1-E17/$E$18</f>
        <v>0.128297872340426</v>
      </c>
      <c r="G17" s="5" t="s">
        <v>249</v>
      </c>
    </row>
    <row r="18" customFormat="false" ht="15" hidden="false" customHeight="false" outlineLevel="0" collapsed="false">
      <c r="A18" s="36" t="n">
        <v>4</v>
      </c>
      <c r="B18" s="36" t="n">
        <f aca="false">A18*$B$19</f>
        <v>280</v>
      </c>
      <c r="C18" s="30" t="n">
        <f aca="false">A18*$C$6</f>
        <v>4824</v>
      </c>
      <c r="D18" s="9" t="n">
        <f aca="false">$C$10*'Build cost'!$B$7</f>
        <v>4576</v>
      </c>
      <c r="E18" s="30" t="n">
        <f aca="false">C18+D18</f>
        <v>9400</v>
      </c>
      <c r="F18" s="32" t="n">
        <f aca="false">1-E18/$E$18</f>
        <v>0</v>
      </c>
      <c r="G18" s="5" t="s">
        <v>250</v>
      </c>
    </row>
    <row r="19" customFormat="false" ht="15" hidden="false" customHeight="false" outlineLevel="0" collapsed="false">
      <c r="A19" s="5" t="s">
        <v>251</v>
      </c>
      <c r="B19" s="44" t="n">
        <v>70</v>
      </c>
    </row>
    <row r="20" customFormat="false" ht="15" hidden="false" customHeight="true" outlineLevel="0" collapsed="false">
      <c r="A20" s="13" t="s">
        <v>252</v>
      </c>
      <c r="B20" s="13"/>
      <c r="C20" s="13"/>
      <c r="D20" s="13"/>
      <c r="E20" s="13"/>
      <c r="F20" s="13"/>
      <c r="G20" s="13"/>
    </row>
  </sheetData>
  <mergeCells count="1">
    <mergeCell ref="A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5" min="4" style="0" width="10"/>
    <col collapsed="false" customWidth="true" hidden="false" outlineLevel="0" max="12" min="6" style="0" width="11"/>
  </cols>
  <sheetData>
    <row r="1" customFormat="false" ht="18.55" hidden="false" customHeight="false" outlineLevel="0" collapsed="false">
      <c r="A1" s="1" t="s">
        <v>253</v>
      </c>
    </row>
    <row r="2" customFormat="false" ht="15" hidden="false" customHeight="false" outlineLevel="0" collapsed="false">
      <c r="A2" s="2" t="s">
        <v>254</v>
      </c>
    </row>
    <row r="4" customFormat="false" ht="15" hidden="false" customHeight="false" outlineLevel="0" collapsed="false">
      <c r="A4" s="3" t="s">
        <v>255</v>
      </c>
    </row>
    <row r="5" customFormat="false" ht="15" hidden="false" customHeight="true" outlineLevel="0" collapsed="false">
      <c r="A5" s="13" t="s">
        <v>256</v>
      </c>
      <c r="B5" s="13"/>
      <c r="C5" s="44" t="n">
        <v>25</v>
      </c>
    </row>
    <row r="6" customFormat="false" ht="15" hidden="false" customHeight="true" outlineLevel="0" collapsed="false">
      <c r="A6" s="13" t="s">
        <v>257</v>
      </c>
      <c r="B6" s="13"/>
      <c r="C6" s="18" t="n">
        <v>0.9</v>
      </c>
    </row>
    <row r="7" customFormat="false" ht="15" hidden="false" customHeight="true" outlineLevel="0" collapsed="false">
      <c r="A7" s="13" t="s">
        <v>258</v>
      </c>
      <c r="B7" s="13"/>
      <c r="C7" s="45" t="n">
        <v>3.3</v>
      </c>
    </row>
    <row r="8" customFormat="false" ht="15" hidden="false" customHeight="true" outlineLevel="0" collapsed="false">
      <c r="A8" s="13" t="s">
        <v>259</v>
      </c>
      <c r="B8" s="13"/>
      <c r="C8" s="46" t="n">
        <v>7.275</v>
      </c>
    </row>
    <row r="9" customFormat="false" ht="15" hidden="false" customHeight="true" outlineLevel="0" collapsed="false">
      <c r="A9" s="13" t="s">
        <v>260</v>
      </c>
      <c r="B9" s="13"/>
      <c r="C9" s="24" t="n">
        <f aca="false">$C$5/$C$6/$C$7</f>
        <v>8.41750841750842</v>
      </c>
      <c r="D9" s="7" t="s">
        <v>261</v>
      </c>
    </row>
    <row r="11" customFormat="false" ht="15" hidden="false" customHeight="false" outlineLevel="0" collapsed="false">
      <c r="A11" s="3" t="s">
        <v>262</v>
      </c>
    </row>
    <row r="12" customFormat="false" ht="35.05" hidden="false" customHeight="false" outlineLevel="0" collapsed="false">
      <c r="A12" s="4" t="s">
        <v>241</v>
      </c>
      <c r="B12" s="4" t="s">
        <v>263</v>
      </c>
      <c r="C12" s="4" t="s">
        <v>264</v>
      </c>
      <c r="D12" s="4" t="s">
        <v>265</v>
      </c>
      <c r="E12" s="4" t="s">
        <v>266</v>
      </c>
      <c r="F12" s="4" t="s">
        <v>267</v>
      </c>
      <c r="G12" s="4" t="s">
        <v>268</v>
      </c>
      <c r="H12" s="4" t="s">
        <v>269</v>
      </c>
      <c r="I12" s="4" t="s">
        <v>270</v>
      </c>
      <c r="J12" s="4" t="s">
        <v>271</v>
      </c>
      <c r="K12" s="4" t="s">
        <v>272</v>
      </c>
      <c r="L12" s="4" t="s">
        <v>273</v>
      </c>
    </row>
    <row r="13" customFormat="false" ht="15" hidden="false" customHeight="false" outlineLevel="0" collapsed="false">
      <c r="A13" s="36" t="n">
        <v>1</v>
      </c>
      <c r="B13" s="5" t="s">
        <v>274</v>
      </c>
      <c r="C13" s="5" t="s">
        <v>275</v>
      </c>
      <c r="D13" s="36" t="n">
        <v>0</v>
      </c>
      <c r="E13" s="36" t="n">
        <v>15</v>
      </c>
    </row>
    <row r="14" customFormat="false" ht="15" hidden="false" customHeight="false" outlineLevel="0" collapsed="false">
      <c r="A14" s="36" t="n">
        <v>2</v>
      </c>
      <c r="B14" s="5" t="s">
        <v>274</v>
      </c>
      <c r="C14" s="5" t="s">
        <v>276</v>
      </c>
      <c r="D14" s="36" t="n">
        <v>33</v>
      </c>
      <c r="E14" s="36" t="n">
        <v>33</v>
      </c>
      <c r="F14" s="24" t="n">
        <v>3.52777950974121</v>
      </c>
      <c r="G14" s="24" t="n">
        <v>4.37389078950888</v>
      </c>
      <c r="H14" s="24" t="n">
        <v>3.49897230357032</v>
      </c>
      <c r="I14" s="24" t="n">
        <v>5.48535903771693</v>
      </c>
      <c r="J14" s="22" t="n">
        <v>31.7764113530531</v>
      </c>
      <c r="K14" s="24" t="n">
        <f aca="false">$C$8-I14</f>
        <v>1.78964096228307</v>
      </c>
      <c r="L14" s="47" t="s">
        <v>277</v>
      </c>
    </row>
    <row r="15" customFormat="false" ht="15" hidden="false" customHeight="false" outlineLevel="0" collapsed="false">
      <c r="A15" s="36" t="n">
        <v>2</v>
      </c>
      <c r="B15" s="5" t="s">
        <v>278</v>
      </c>
      <c r="C15" s="5" t="s">
        <v>276</v>
      </c>
      <c r="D15" s="36" t="n">
        <v>33</v>
      </c>
      <c r="E15" s="36" t="n">
        <v>33</v>
      </c>
      <c r="F15" s="24" t="n">
        <v>3.5266151643538</v>
      </c>
      <c r="G15" s="24" t="n">
        <v>4.20875420875423</v>
      </c>
      <c r="H15" s="24" t="n">
        <v>3.49833934566044</v>
      </c>
      <c r="I15" s="24" t="n">
        <v>5.34538492126309</v>
      </c>
      <c r="J15" s="22" t="n">
        <v>31.5377694013431</v>
      </c>
      <c r="K15" s="24" t="n">
        <f aca="false">$C$8-I15</f>
        <v>1.92961507873691</v>
      </c>
      <c r="L15" s="47" t="s">
        <v>279</v>
      </c>
    </row>
    <row r="16" customFormat="false" ht="15" hidden="false" customHeight="false" outlineLevel="0" collapsed="false">
      <c r="A16" s="39" t="n">
        <v>2</v>
      </c>
      <c r="B16" s="43" t="s">
        <v>280</v>
      </c>
      <c r="C16" s="43" t="s">
        <v>276</v>
      </c>
      <c r="D16" s="39" t="n">
        <v>33</v>
      </c>
      <c r="E16" s="39" t="n">
        <v>33</v>
      </c>
      <c r="F16" s="48" t="n">
        <v>3.5249590416924</v>
      </c>
      <c r="G16" s="48" t="n">
        <v>4.20875420875423</v>
      </c>
      <c r="H16" s="48" t="n">
        <v>3.49668432382133</v>
      </c>
      <c r="I16" s="48" t="n">
        <v>5.32842550437264</v>
      </c>
      <c r="J16" s="49" t="n">
        <v>31.5732019177938</v>
      </c>
      <c r="K16" s="48" t="n">
        <f aca="false">$C$8-I16</f>
        <v>1.94657449562736</v>
      </c>
      <c r="L16" s="50" t="s">
        <v>279</v>
      </c>
    </row>
    <row r="17" customFormat="false" ht="15" hidden="false" customHeight="false" outlineLevel="0" collapsed="false">
      <c r="A17" s="36" t="n">
        <v>2</v>
      </c>
      <c r="B17" s="5" t="s">
        <v>281</v>
      </c>
      <c r="C17" s="5" t="s">
        <v>276</v>
      </c>
      <c r="D17" s="36" t="n">
        <v>33</v>
      </c>
      <c r="E17" s="36" t="n">
        <v>33</v>
      </c>
      <c r="F17" s="24" t="n">
        <v>3.52937312995314</v>
      </c>
      <c r="G17" s="24" t="n">
        <v>4.30939045455207</v>
      </c>
      <c r="H17" s="24" t="n">
        <v>3.50077776375143</v>
      </c>
      <c r="I17" s="24" t="n">
        <v>5.4409464106258</v>
      </c>
      <c r="J17" s="22" t="n">
        <v>31.6606708595837</v>
      </c>
      <c r="K17" s="24" t="n">
        <f aca="false">$C$8-I17</f>
        <v>1.83405358937421</v>
      </c>
      <c r="L17" s="47" t="s">
        <v>277</v>
      </c>
    </row>
    <row r="18" customFormat="false" ht="15" hidden="false" customHeight="false" outlineLevel="0" collapsed="false">
      <c r="A18" s="36" t="n">
        <v>3</v>
      </c>
      <c r="B18" s="5" t="s">
        <v>274</v>
      </c>
      <c r="C18" s="5" t="s">
        <v>276</v>
      </c>
      <c r="D18" s="36" t="n">
        <v>42</v>
      </c>
      <c r="E18" s="36" t="n">
        <v>42</v>
      </c>
      <c r="F18" s="24" t="n">
        <v>3.6315290653286</v>
      </c>
      <c r="G18" s="24" t="n">
        <v>3.16082314419264</v>
      </c>
      <c r="H18" s="24" t="n">
        <v>3.61557077653522</v>
      </c>
      <c r="I18" s="24" t="n">
        <v>3.85548037836337</v>
      </c>
      <c r="J18" s="22" t="n">
        <v>27.6945959861041</v>
      </c>
      <c r="K18" s="24" t="n">
        <f aca="false">$C$8-I18</f>
        <v>3.41951962163663</v>
      </c>
      <c r="L18" s="47" t="s">
        <v>282</v>
      </c>
    </row>
    <row r="19" customFormat="false" ht="15" hidden="false" customHeight="false" outlineLevel="0" collapsed="false">
      <c r="A19" s="36" t="n">
        <v>3</v>
      </c>
      <c r="B19" s="5" t="s">
        <v>278</v>
      </c>
      <c r="C19" s="5" t="s">
        <v>276</v>
      </c>
      <c r="D19" s="36" t="n">
        <v>42</v>
      </c>
      <c r="E19" s="36" t="n">
        <v>42</v>
      </c>
      <c r="F19" s="24" t="n">
        <v>3.62955346503662</v>
      </c>
      <c r="G19" s="24" t="n">
        <v>2.82837942816701</v>
      </c>
      <c r="H19" s="24" t="n">
        <v>3.6137738422387</v>
      </c>
      <c r="I19" s="24" t="n">
        <v>3.53096230623505</v>
      </c>
      <c r="J19" s="22" t="n">
        <v>27.3225779346497</v>
      </c>
      <c r="K19" s="24" t="n">
        <f aca="false">$C$8-I19</f>
        <v>3.74403769376495</v>
      </c>
      <c r="L19" s="47" t="s">
        <v>282</v>
      </c>
    </row>
    <row r="20" customFormat="false" ht="15" hidden="false" customHeight="false" outlineLevel="0" collapsed="false">
      <c r="A20" s="36" t="n">
        <v>3</v>
      </c>
      <c r="B20" s="5" t="s">
        <v>280</v>
      </c>
      <c r="C20" s="5" t="s">
        <v>276</v>
      </c>
      <c r="D20" s="36" t="n">
        <v>42</v>
      </c>
      <c r="E20" s="36" t="n">
        <v>42</v>
      </c>
      <c r="F20" s="24" t="n">
        <v>3.62586521820958</v>
      </c>
      <c r="G20" s="24" t="n">
        <v>2.84301947111622</v>
      </c>
      <c r="H20" s="24" t="n">
        <v>3.61009168243776</v>
      </c>
      <c r="I20" s="24" t="n">
        <v>3.53767670528696</v>
      </c>
      <c r="J20" s="22" t="n">
        <v>27.3800769082462</v>
      </c>
      <c r="K20" s="24" t="n">
        <f aca="false">$C$8-I20</f>
        <v>3.73732329471304</v>
      </c>
      <c r="L20" s="47" t="s">
        <v>282</v>
      </c>
    </row>
    <row r="21" customFormat="false" ht="15" hidden="false" customHeight="false" outlineLevel="0" collapsed="false">
      <c r="A21" s="36" t="n">
        <v>3</v>
      </c>
      <c r="B21" s="5" t="s">
        <v>281</v>
      </c>
      <c r="C21" s="5" t="s">
        <v>276</v>
      </c>
      <c r="D21" s="36" t="n">
        <v>42</v>
      </c>
      <c r="E21" s="36" t="n">
        <v>42</v>
      </c>
      <c r="F21" s="24" t="n">
        <v>3.63504748066781</v>
      </c>
      <c r="G21" s="24" t="n">
        <v>3.02495164761283</v>
      </c>
      <c r="H21" s="24" t="n">
        <v>3.61919942685388</v>
      </c>
      <c r="I21" s="24" t="n">
        <v>3.72753452568086</v>
      </c>
      <c r="J21" s="22" t="n">
        <v>27.5128820599838</v>
      </c>
      <c r="K21" s="24" t="n">
        <f aca="false">$C$8-I21</f>
        <v>3.54746547431914</v>
      </c>
      <c r="L21" s="47" t="s">
        <v>282</v>
      </c>
    </row>
    <row r="22" customFormat="false" ht="15" hidden="false" customHeight="false" outlineLevel="0" collapsed="false">
      <c r="A22" s="36" t="n">
        <v>4</v>
      </c>
      <c r="B22" s="5" t="s">
        <v>274</v>
      </c>
      <c r="C22" s="5" t="s">
        <v>276</v>
      </c>
      <c r="D22" s="36" t="n">
        <v>51</v>
      </c>
      <c r="E22" s="36" t="n">
        <v>51</v>
      </c>
      <c r="F22" s="24" t="n">
        <v>3.68917633078327</v>
      </c>
      <c r="G22" s="24" t="n">
        <v>2.64094781214917</v>
      </c>
      <c r="H22" s="24" t="n">
        <v>3.66383276158828</v>
      </c>
      <c r="I22" s="24" t="n">
        <v>3.34050131378193</v>
      </c>
      <c r="J22" s="22" t="n">
        <v>26.1183072087238</v>
      </c>
      <c r="K22" s="24" t="n">
        <f aca="false">$C$8-I22</f>
        <v>3.93449868621807</v>
      </c>
      <c r="L22" s="47" t="s">
        <v>283</v>
      </c>
    </row>
    <row r="23" customFormat="false" ht="15" hidden="false" customHeight="false" outlineLevel="0" collapsed="false">
      <c r="A23" s="36" t="n">
        <v>4</v>
      </c>
      <c r="B23" s="5" t="s">
        <v>278</v>
      </c>
      <c r="C23" s="5" t="s">
        <v>276</v>
      </c>
      <c r="D23" s="36" t="n">
        <v>51</v>
      </c>
      <c r="E23" s="36" t="n">
        <v>51</v>
      </c>
      <c r="F23" s="24" t="n">
        <v>3.68640137133174</v>
      </c>
      <c r="G23" s="24" t="n">
        <v>2.15469522727604</v>
      </c>
      <c r="H23" s="24" t="n">
        <v>3.66093985788504</v>
      </c>
      <c r="I23" s="24" t="n">
        <v>2.8785010359952</v>
      </c>
      <c r="J23" s="22" t="n">
        <v>25.8901828996505</v>
      </c>
      <c r="K23" s="24" t="n">
        <f aca="false">$C$8-I23</f>
        <v>4.3964989640048</v>
      </c>
      <c r="L23" s="47" t="s">
        <v>283</v>
      </c>
    </row>
    <row r="24" customFormat="false" ht="15" hidden="false" customHeight="false" outlineLevel="0" collapsed="false">
      <c r="A24" s="36" t="n">
        <v>4</v>
      </c>
      <c r="B24" s="5" t="s">
        <v>280</v>
      </c>
      <c r="C24" s="5" t="s">
        <v>276</v>
      </c>
      <c r="D24" s="36" t="n">
        <v>51</v>
      </c>
      <c r="E24" s="36" t="n">
        <v>51</v>
      </c>
      <c r="F24" s="24" t="n">
        <v>3.68056679583419</v>
      </c>
      <c r="G24" s="24" t="n">
        <v>2.18694539475445</v>
      </c>
      <c r="H24" s="24" t="n">
        <v>3.65511907041085</v>
      </c>
      <c r="I24" s="24" t="n">
        <v>2.88649889638721</v>
      </c>
      <c r="J24" s="22" t="n">
        <v>25.9228267735937</v>
      </c>
      <c r="K24" s="24" t="n">
        <f aca="false">$C$8-I24</f>
        <v>4.38850110361279</v>
      </c>
      <c r="L24" s="47" t="s">
        <v>283</v>
      </c>
    </row>
    <row r="25" customFormat="false" ht="15" hidden="false" customHeight="false" outlineLevel="0" collapsed="false">
      <c r="A25" s="36" t="n">
        <v>4</v>
      </c>
      <c r="B25" s="5" t="s">
        <v>281</v>
      </c>
      <c r="C25" s="5" t="s">
        <v>276</v>
      </c>
      <c r="D25" s="36" t="n">
        <v>51</v>
      </c>
      <c r="E25" s="36" t="n">
        <v>51</v>
      </c>
      <c r="F25" s="24" t="n">
        <v>3.69468404352306</v>
      </c>
      <c r="G25" s="24" t="n">
        <v>2.44068447077869</v>
      </c>
      <c r="H25" s="24" t="n">
        <v>3.66926171744435</v>
      </c>
      <c r="I25" s="24" t="n">
        <v>3.16449027949786</v>
      </c>
      <c r="J25" s="22" t="n">
        <v>26.0075798033673</v>
      </c>
      <c r="K25" s="24" t="n">
        <f aca="false">$C$8-I25</f>
        <v>4.11050972050215</v>
      </c>
      <c r="L25" s="47" t="s">
        <v>283</v>
      </c>
    </row>
    <row r="27" customFormat="false" ht="15" hidden="false" customHeight="false" outlineLevel="0" collapsed="false">
      <c r="A27" s="3" t="s">
        <v>284</v>
      </c>
    </row>
    <row r="28" customFormat="false" ht="15" hidden="false" customHeight="true" outlineLevel="0" collapsed="false">
      <c r="A28" s="13" t="s">
        <v>285</v>
      </c>
      <c r="B28" s="13"/>
      <c r="C28" s="13"/>
      <c r="D28" s="13"/>
      <c r="E28" s="13"/>
      <c r="F28" s="13"/>
      <c r="G28" s="13"/>
      <c r="H28" s="13"/>
      <c r="I28" s="30" t="n">
        <v>4006</v>
      </c>
    </row>
    <row r="29" customFormat="false" ht="15" hidden="false" customHeight="true" outlineLevel="0" collapsed="false">
      <c r="A29" s="13" t="s">
        <v>286</v>
      </c>
      <c r="B29" s="13"/>
      <c r="C29" s="13"/>
      <c r="D29" s="13"/>
      <c r="E29" s="13"/>
      <c r="F29" s="13"/>
      <c r="G29" s="13"/>
      <c r="H29" s="13"/>
      <c r="I29" s="36" t="n">
        <v>42</v>
      </c>
    </row>
    <row r="30" customFormat="false" ht="15" hidden="false" customHeight="true" outlineLevel="0" collapsed="false">
      <c r="A30" s="13" t="s">
        <v>287</v>
      </c>
      <c r="B30" s="13"/>
      <c r="C30" s="13"/>
      <c r="D30" s="13"/>
      <c r="E30" s="13"/>
      <c r="F30" s="13"/>
      <c r="G30" s="13"/>
      <c r="H30" s="13"/>
      <c r="I30" s="30" t="n">
        <f aca="false">4006-42</f>
        <v>3964</v>
      </c>
    </row>
    <row r="31" customFormat="false" ht="15" hidden="false" customHeight="true" outlineLevel="0" collapsed="false">
      <c r="A31" s="13" t="s">
        <v>288</v>
      </c>
      <c r="B31" s="13"/>
      <c r="C31" s="13"/>
      <c r="D31" s="13"/>
      <c r="E31" s="13"/>
      <c r="F31" s="13"/>
      <c r="G31" s="13"/>
      <c r="H31" s="13"/>
      <c r="I31" s="51" t="n">
        <v>9.50005587174729E-006</v>
      </c>
    </row>
    <row r="32" customFormat="false" ht="15" hidden="false" customHeight="true" outlineLevel="0" collapsed="false">
      <c r="A32" s="13" t="s">
        <v>289</v>
      </c>
      <c r="B32" s="13"/>
      <c r="C32" s="13"/>
      <c r="D32" s="13"/>
      <c r="E32" s="13"/>
      <c r="F32" s="13"/>
      <c r="G32" s="13"/>
      <c r="H32" s="13"/>
      <c r="I32" s="52" t="n">
        <v>0.000968810555601607</v>
      </c>
    </row>
    <row r="34" customFormat="false" ht="15" hidden="false" customHeight="false" outlineLevel="0" collapsed="false">
      <c r="A34" s="3" t="s">
        <v>290</v>
      </c>
    </row>
    <row r="35" customFormat="false" ht="15" hidden="false" customHeight="true" outlineLevel="0" collapsed="false">
      <c r="A35" s="13" t="s">
        <v>291</v>
      </c>
      <c r="B35" s="13"/>
      <c r="C35" s="13"/>
      <c r="D35" s="13"/>
      <c r="E35" s="13"/>
      <c r="F35" s="13"/>
      <c r="G35" s="13"/>
      <c r="H35" s="13"/>
      <c r="I35" s="13"/>
      <c r="J35" s="13"/>
      <c r="K35" s="13"/>
      <c r="L35" s="13"/>
    </row>
    <row r="36" customFormat="false" ht="15" hidden="false" customHeight="true" outlineLevel="0" collapsed="false">
      <c r="A36" s="13" t="s">
        <v>292</v>
      </c>
      <c r="B36" s="13"/>
      <c r="C36" s="13"/>
      <c r="D36" s="13"/>
      <c r="E36" s="13"/>
      <c r="F36" s="13"/>
      <c r="G36" s="13"/>
      <c r="H36" s="13"/>
      <c r="I36" s="13"/>
      <c r="J36" s="13"/>
      <c r="K36" s="13"/>
      <c r="L36" s="13"/>
    </row>
    <row r="37" customFormat="false" ht="15" hidden="false" customHeight="true" outlineLevel="0" collapsed="false">
      <c r="A37" s="13" t="s">
        <v>293</v>
      </c>
      <c r="B37" s="13"/>
      <c r="C37" s="13"/>
      <c r="D37" s="13"/>
      <c r="E37" s="13"/>
      <c r="F37" s="13"/>
      <c r="G37" s="13"/>
      <c r="H37" s="13"/>
      <c r="I37" s="13"/>
      <c r="J37" s="13"/>
      <c r="K37" s="13"/>
      <c r="L37" s="13"/>
    </row>
    <row r="38" customFormat="false" ht="15" hidden="false" customHeight="true" outlineLevel="0" collapsed="false">
      <c r="A38" s="13" t="s">
        <v>294</v>
      </c>
      <c r="B38" s="13"/>
      <c r="C38" s="13"/>
      <c r="D38" s="13"/>
      <c r="E38" s="13"/>
      <c r="F38" s="13"/>
      <c r="G38" s="13"/>
      <c r="H38" s="13"/>
      <c r="I38" s="13"/>
      <c r="J38" s="13"/>
      <c r="K38" s="13"/>
      <c r="L38" s="13"/>
    </row>
    <row r="39" customFormat="false" ht="15" hidden="false" customHeight="true" outlineLevel="0" collapsed="false">
      <c r="A39" s="13" t="s">
        <v>295</v>
      </c>
      <c r="B39" s="13"/>
      <c r="C39" s="13"/>
      <c r="D39" s="13"/>
      <c r="E39" s="13"/>
      <c r="F39" s="13"/>
      <c r="G39" s="13"/>
      <c r="H39" s="13"/>
      <c r="I39" s="13"/>
      <c r="J39" s="13"/>
      <c r="K39" s="13"/>
      <c r="L39" s="13"/>
    </row>
    <row r="40" customFormat="false" ht="15" hidden="false" customHeight="true" outlineLevel="0" collapsed="false">
      <c r="A40" s="13" t="s">
        <v>296</v>
      </c>
      <c r="B40" s="13"/>
      <c r="C40" s="13"/>
      <c r="D40" s="13"/>
      <c r="E40" s="13"/>
      <c r="F40" s="13"/>
      <c r="G40" s="13"/>
      <c r="H40" s="13"/>
      <c r="I40" s="13"/>
      <c r="J40" s="13"/>
      <c r="K40" s="13"/>
      <c r="L40" s="13"/>
    </row>
    <row r="41" customFormat="false" ht="15" hidden="false" customHeight="true" outlineLevel="0" collapsed="false">
      <c r="A41" s="13" t="s">
        <v>297</v>
      </c>
      <c r="B41" s="13"/>
      <c r="C41" s="13"/>
      <c r="D41" s="13"/>
      <c r="E41" s="13"/>
      <c r="F41" s="13"/>
      <c r="G41" s="13"/>
      <c r="H41" s="13"/>
      <c r="I41" s="13"/>
      <c r="J41" s="13"/>
      <c r="K41" s="13"/>
      <c r="L41" s="13"/>
    </row>
    <row r="42" customFormat="false" ht="15" hidden="false" customHeight="true" outlineLevel="0" collapsed="false">
      <c r="A42" s="13" t="s">
        <v>298</v>
      </c>
      <c r="B42" s="13"/>
      <c r="C42" s="13"/>
      <c r="D42" s="13"/>
      <c r="E42" s="13"/>
      <c r="F42" s="13"/>
      <c r="G42" s="13"/>
      <c r="H42" s="13"/>
      <c r="I42" s="13"/>
      <c r="J42" s="13"/>
      <c r="K42" s="13"/>
      <c r="L42" s="13"/>
    </row>
    <row r="44" customFormat="false" ht="15" hidden="false" customHeight="false" outlineLevel="0" collapsed="false">
      <c r="A44" s="3" t="s">
        <v>299</v>
      </c>
    </row>
    <row r="45" customFormat="false" ht="15" hidden="false" customHeight="true" outlineLevel="0" collapsed="false">
      <c r="A45" s="13" t="s">
        <v>300</v>
      </c>
      <c r="B45" s="13"/>
      <c r="C45" s="22" t="n">
        <f aca="false">$C$8*$C$7*$C$6</f>
        <v>21.60675</v>
      </c>
      <c r="D45" s="7" t="s">
        <v>301</v>
      </c>
    </row>
    <row r="47" customFormat="false" ht="15" hidden="false" customHeight="false" outlineLevel="0" collapsed="false">
      <c r="A47" s="3" t="s">
        <v>302</v>
      </c>
    </row>
    <row r="48" customFormat="false" ht="15" hidden="false" customHeight="true" outlineLevel="0" collapsed="false">
      <c r="A48" s="13" t="s">
        <v>303</v>
      </c>
      <c r="B48" s="13"/>
      <c r="C48" s="22" t="n">
        <f aca="false">$C$5/$C$6/$C$7*10/60</f>
        <v>1.40291806958474</v>
      </c>
    </row>
    <row r="49" customFormat="false" ht="15" hidden="false" customHeight="true" outlineLevel="0" collapsed="false">
      <c r="A49" s="13" t="s">
        <v>304</v>
      </c>
      <c r="B49" s="13"/>
      <c r="C49" s="53" t="n">
        <v>2.91</v>
      </c>
      <c r="D49" s="7" t="s">
        <v>305</v>
      </c>
    </row>
    <row r="50" customFormat="false" ht="15" hidden="false" customHeight="true" outlineLevel="0" collapsed="false">
      <c r="A50" s="13" t="s">
        <v>306</v>
      </c>
      <c r="B50" s="13"/>
      <c r="C50" s="36" t="n">
        <f aca="false">C48/C49*60</f>
        <v>28.9261457646337</v>
      </c>
      <c r="D50" s="7" t="s">
        <v>307</v>
      </c>
    </row>
  </sheetData>
  <mergeCells count="22">
    <mergeCell ref="A5:B5"/>
    <mergeCell ref="A6:B6"/>
    <mergeCell ref="A7:B7"/>
    <mergeCell ref="A8:B8"/>
    <mergeCell ref="A9:B9"/>
    <mergeCell ref="A28:H28"/>
    <mergeCell ref="A29:H29"/>
    <mergeCell ref="A30:H30"/>
    <mergeCell ref="A31:H31"/>
    <mergeCell ref="A32:H32"/>
    <mergeCell ref="A35:L35"/>
    <mergeCell ref="A36:L36"/>
    <mergeCell ref="A37:L37"/>
    <mergeCell ref="A38:L38"/>
    <mergeCell ref="A39:L39"/>
    <mergeCell ref="A40:L40"/>
    <mergeCell ref="A41:L41"/>
    <mergeCell ref="A42:L42"/>
    <mergeCell ref="A45:B45"/>
    <mergeCell ref="A48:B48"/>
    <mergeCell ref="A49:B49"/>
    <mergeCell ref="A50:B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34"/>
    <col collapsed="false" customWidth="true" hidden="false" outlineLevel="0" max="5" min="3" style="0" width="13"/>
    <col collapsed="false" customWidth="true" hidden="false" outlineLevel="0" max="8" min="6" style="0" width="12"/>
    <col collapsed="false" customWidth="true" hidden="false" outlineLevel="0" max="10" min="9" style="0" width="11"/>
  </cols>
  <sheetData>
    <row r="1" customFormat="false" ht="18.55" hidden="false" customHeight="false" outlineLevel="0" collapsed="false">
      <c r="A1" s="1" t="s">
        <v>308</v>
      </c>
    </row>
    <row r="2" customFormat="false" ht="15" hidden="false" customHeight="false" outlineLevel="0" collapsed="false">
      <c r="A2" s="2" t="s">
        <v>309</v>
      </c>
    </row>
    <row r="4" customFormat="false" ht="15" hidden="false" customHeight="false" outlineLevel="0" collapsed="false">
      <c r="A4" s="3" t="s">
        <v>310</v>
      </c>
    </row>
    <row r="5" customFormat="false" ht="15" hidden="false" customHeight="true" outlineLevel="0" collapsed="false">
      <c r="A5" s="4" t="s">
        <v>311</v>
      </c>
      <c r="B5" s="4" t="s">
        <v>169</v>
      </c>
      <c r="C5" s="54" t="s">
        <v>5</v>
      </c>
      <c r="D5" s="54"/>
      <c r="E5" s="54"/>
      <c r="F5" s="54"/>
      <c r="G5" s="54"/>
      <c r="H5" s="54"/>
      <c r="I5" s="54"/>
      <c r="J5" s="54"/>
    </row>
    <row r="6" customFormat="false" ht="15" hidden="false" customHeight="true" outlineLevel="0" collapsed="false">
      <c r="A6" s="5" t="s">
        <v>312</v>
      </c>
      <c r="B6" s="5" t="s">
        <v>313</v>
      </c>
      <c r="C6" s="13" t="s">
        <v>314</v>
      </c>
      <c r="D6" s="13"/>
      <c r="E6" s="13"/>
      <c r="F6" s="13"/>
      <c r="G6" s="13"/>
      <c r="H6" s="13"/>
      <c r="I6" s="13"/>
      <c r="J6" s="13"/>
    </row>
    <row r="7" customFormat="false" ht="15" hidden="false" customHeight="true" outlineLevel="0" collapsed="false">
      <c r="A7" s="5" t="s">
        <v>315</v>
      </c>
      <c r="B7" s="5" t="s">
        <v>316</v>
      </c>
      <c r="C7" s="13" t="s">
        <v>317</v>
      </c>
      <c r="D7" s="13"/>
      <c r="E7" s="13"/>
      <c r="F7" s="13"/>
      <c r="G7" s="13"/>
      <c r="H7" s="13"/>
      <c r="I7" s="13"/>
      <c r="J7" s="13"/>
    </row>
    <row r="8" customFormat="false" ht="15" hidden="false" customHeight="true" outlineLevel="0" collapsed="false">
      <c r="A8" s="5" t="s">
        <v>318</v>
      </c>
      <c r="B8" s="5" t="s">
        <v>319</v>
      </c>
      <c r="C8" s="13" t="s">
        <v>320</v>
      </c>
      <c r="D8" s="13"/>
      <c r="E8" s="13"/>
      <c r="F8" s="13"/>
      <c r="G8" s="13"/>
      <c r="H8" s="13"/>
      <c r="I8" s="13"/>
      <c r="J8" s="13"/>
    </row>
    <row r="9" customFormat="false" ht="15" hidden="false" customHeight="true" outlineLevel="0" collapsed="false">
      <c r="A9" s="5" t="s">
        <v>321</v>
      </c>
      <c r="B9" s="5" t="s">
        <v>322</v>
      </c>
      <c r="C9" s="13" t="s">
        <v>323</v>
      </c>
      <c r="D9" s="13"/>
      <c r="E9" s="13"/>
      <c r="F9" s="13"/>
      <c r="G9" s="13"/>
      <c r="H9" s="13"/>
      <c r="I9" s="13"/>
      <c r="J9" s="13"/>
    </row>
    <row r="10" customFormat="false" ht="15" hidden="false" customHeight="true" outlineLevel="0" collapsed="false">
      <c r="A10" s="5" t="s">
        <v>324</v>
      </c>
      <c r="B10" s="5" t="s">
        <v>325</v>
      </c>
      <c r="C10" s="13" t="s">
        <v>326</v>
      </c>
      <c r="D10" s="13"/>
      <c r="E10" s="13"/>
      <c r="F10" s="13"/>
      <c r="G10" s="13"/>
      <c r="H10" s="13"/>
      <c r="I10" s="13"/>
      <c r="J10" s="13"/>
    </row>
    <row r="11" customFormat="false" ht="15" hidden="false" customHeight="true" outlineLevel="0" collapsed="false">
      <c r="A11" s="5" t="s">
        <v>327</v>
      </c>
      <c r="B11" s="5" t="s">
        <v>328</v>
      </c>
      <c r="C11" s="13" t="s">
        <v>329</v>
      </c>
      <c r="D11" s="13"/>
      <c r="E11" s="13"/>
      <c r="F11" s="13"/>
      <c r="G11" s="13"/>
      <c r="H11" s="13"/>
      <c r="I11" s="13"/>
      <c r="J11" s="13"/>
    </row>
    <row r="12" customFormat="false" ht="15" hidden="false" customHeight="true" outlineLevel="0" collapsed="false">
      <c r="A12" s="5" t="s">
        <v>330</v>
      </c>
      <c r="B12" s="5" t="s">
        <v>331</v>
      </c>
      <c r="C12" s="13" t="s">
        <v>332</v>
      </c>
      <c r="D12" s="13"/>
      <c r="E12" s="13"/>
      <c r="F12" s="13"/>
      <c r="G12" s="13"/>
      <c r="H12" s="13"/>
      <c r="I12" s="13"/>
      <c r="J12" s="13"/>
    </row>
    <row r="13" customFormat="false" ht="15" hidden="false" customHeight="true" outlineLevel="0" collapsed="false">
      <c r="A13" s="5" t="s">
        <v>333</v>
      </c>
      <c r="B13" s="5" t="s">
        <v>334</v>
      </c>
      <c r="C13" s="13" t="s">
        <v>335</v>
      </c>
      <c r="D13" s="13"/>
      <c r="E13" s="13"/>
      <c r="F13" s="13"/>
      <c r="G13" s="13"/>
      <c r="H13" s="13"/>
      <c r="I13" s="13"/>
      <c r="J13" s="13"/>
    </row>
    <row r="14" customFormat="false" ht="23.85" hidden="false" customHeight="true" outlineLevel="0" collapsed="false">
      <c r="A14" s="5" t="s">
        <v>336</v>
      </c>
      <c r="B14" s="5" t="s">
        <v>337</v>
      </c>
      <c r="C14" s="13" t="s">
        <v>338</v>
      </c>
      <c r="D14" s="13"/>
      <c r="E14" s="13"/>
      <c r="F14" s="13"/>
      <c r="G14" s="13"/>
      <c r="H14" s="13"/>
      <c r="I14" s="13"/>
      <c r="J14" s="13"/>
    </row>
    <row r="16" customFormat="false" ht="15" hidden="false" customHeight="false" outlineLevel="0" collapsed="false">
      <c r="A16" s="3" t="s">
        <v>339</v>
      </c>
    </row>
    <row r="17" customFormat="false" ht="27.75" hidden="false" customHeight="true" outlineLevel="0" collapsed="false">
      <c r="A17" s="13" t="s">
        <v>340</v>
      </c>
      <c r="B17" s="13"/>
      <c r="C17" s="13"/>
      <c r="D17" s="13"/>
      <c r="E17" s="13"/>
      <c r="F17" s="13"/>
      <c r="G17" s="13"/>
      <c r="H17" s="13"/>
      <c r="I17" s="13"/>
      <c r="J17" s="13"/>
    </row>
    <row r="18" customFormat="false" ht="23.85" hidden="false" customHeight="false" outlineLevel="0" collapsed="false">
      <c r="A18" s="4" t="s">
        <v>341</v>
      </c>
      <c r="B18" s="4" t="s">
        <v>342</v>
      </c>
      <c r="C18" s="4" t="s">
        <v>343</v>
      </c>
      <c r="D18" s="4" t="s">
        <v>344</v>
      </c>
      <c r="E18" s="4" t="s">
        <v>345</v>
      </c>
      <c r="F18" s="4" t="s">
        <v>346</v>
      </c>
      <c r="G18" s="4" t="s">
        <v>347</v>
      </c>
      <c r="H18" s="4" t="s">
        <v>348</v>
      </c>
      <c r="I18" s="4" t="s">
        <v>349</v>
      </c>
      <c r="J18" s="4" t="s">
        <v>350</v>
      </c>
    </row>
    <row r="19" customFormat="false" ht="15" hidden="false" customHeight="false" outlineLevel="0" collapsed="false">
      <c r="A19" s="5" t="s">
        <v>351</v>
      </c>
      <c r="B19" s="5" t="s">
        <v>352</v>
      </c>
      <c r="C19" s="22" t="n">
        <v>14.5610257874836</v>
      </c>
      <c r="D19" s="55" t="n">
        <v>0.180389649105501</v>
      </c>
      <c r="E19" s="24" t="n">
        <v>3.03017384353483</v>
      </c>
      <c r="F19" s="24" t="n">
        <v>5.33761537365797</v>
      </c>
      <c r="G19" s="24" t="n">
        <v>8.39682411288896</v>
      </c>
      <c r="H19" s="56" t="n">
        <f aca="false">G19-F19</f>
        <v>3.05920873923099</v>
      </c>
      <c r="I19" s="57" t="s">
        <v>353</v>
      </c>
      <c r="J19" s="57" t="s">
        <v>353</v>
      </c>
    </row>
    <row r="20" customFormat="false" ht="15" hidden="false" customHeight="false" outlineLevel="0" collapsed="false">
      <c r="A20" s="5" t="s">
        <v>354</v>
      </c>
      <c r="B20" s="5" t="s">
        <v>352</v>
      </c>
      <c r="C20" s="22" t="n">
        <v>16.1089494383413</v>
      </c>
      <c r="D20" s="55" t="n">
        <v>0.0802234571732305</v>
      </c>
      <c r="E20" s="24" t="n">
        <v>4.09235171152956</v>
      </c>
      <c r="F20" s="24" t="n">
        <v>5.10981750488281</v>
      </c>
      <c r="G20" s="24" t="n">
        <v>9.86131154024901</v>
      </c>
      <c r="H20" s="56" t="n">
        <f aca="false">G20-F20</f>
        <v>4.75149403536619</v>
      </c>
      <c r="I20" s="57" t="s">
        <v>353</v>
      </c>
      <c r="J20" s="57" t="s">
        <v>353</v>
      </c>
    </row>
    <row r="21" customFormat="false" ht="15" hidden="false" customHeight="false" outlineLevel="0" collapsed="false">
      <c r="A21" s="5" t="s">
        <v>355</v>
      </c>
      <c r="B21" s="5" t="s">
        <v>352</v>
      </c>
      <c r="C21" s="22" t="n">
        <v>14.5610257874836</v>
      </c>
      <c r="D21" s="55" t="n">
        <v>0.154935147845536</v>
      </c>
      <c r="E21" s="24" t="n">
        <v>3.32956708735821</v>
      </c>
      <c r="F21" s="24" t="n">
        <v>5.33761537365797</v>
      </c>
      <c r="G21" s="24" t="n">
        <v>9.04485923162991</v>
      </c>
      <c r="H21" s="56" t="n">
        <f aca="false">G21-F21</f>
        <v>3.70724385797194</v>
      </c>
      <c r="I21" s="57" t="s">
        <v>353</v>
      </c>
      <c r="J21" s="57" t="s">
        <v>353</v>
      </c>
    </row>
    <row r="22" customFormat="false" ht="15" hidden="false" customHeight="false" outlineLevel="0" collapsed="false">
      <c r="A22" s="5" t="s">
        <v>356</v>
      </c>
      <c r="B22" s="5" t="s">
        <v>357</v>
      </c>
      <c r="C22" s="22" t="n">
        <v>14.554388214364</v>
      </c>
      <c r="D22" s="55" t="n">
        <v>0.172918467073328</v>
      </c>
      <c r="E22" s="24" t="n">
        <v>3.25804688552848</v>
      </c>
      <c r="F22" s="24" t="n">
        <v>2.21429298502703</v>
      </c>
      <c r="G22" s="24" t="n">
        <v>5.8297424731429</v>
      </c>
      <c r="H22" s="56" t="n">
        <f aca="false">G22-F22</f>
        <v>3.61544948811587</v>
      </c>
      <c r="I22" s="57" t="s">
        <v>353</v>
      </c>
      <c r="J22" s="57" t="s">
        <v>353</v>
      </c>
    </row>
    <row r="23" customFormat="false" ht="15" hidden="false" customHeight="false" outlineLevel="0" collapsed="false">
      <c r="A23" s="5" t="s">
        <v>358</v>
      </c>
      <c r="B23" s="5" t="s">
        <v>357</v>
      </c>
      <c r="C23" s="22" t="n">
        <v>12.871096682301</v>
      </c>
      <c r="D23" s="55" t="n">
        <v>0.0520087683166525</v>
      </c>
      <c r="E23" s="24" t="n">
        <v>2.35568572956209</v>
      </c>
      <c r="F23" s="24" t="n">
        <v>3.0483614005696</v>
      </c>
      <c r="G23" s="24" t="n">
        <v>4.86371535216071</v>
      </c>
      <c r="H23" s="56" t="n">
        <f aca="false">G23-F23</f>
        <v>1.81535395159112</v>
      </c>
      <c r="I23" s="57" t="s">
        <v>353</v>
      </c>
      <c r="J23" s="57" t="s">
        <v>353</v>
      </c>
    </row>
    <row r="24" customFormat="false" ht="15" hidden="false" customHeight="false" outlineLevel="0" collapsed="false">
      <c r="A24" s="5" t="s">
        <v>359</v>
      </c>
      <c r="B24" s="5" t="s">
        <v>357</v>
      </c>
      <c r="C24" s="22" t="n">
        <v>14.554388214364</v>
      </c>
      <c r="D24" s="55" t="n">
        <v>0.185718294763102</v>
      </c>
      <c r="E24" s="24" t="n">
        <v>3.55052821717712</v>
      </c>
      <c r="F24" s="24" t="n">
        <v>2.19935774547927</v>
      </c>
      <c r="G24" s="24" t="n">
        <v>6.58308610270481</v>
      </c>
      <c r="H24" s="56" t="n">
        <f aca="false">G24-F24</f>
        <v>4.38372835722554</v>
      </c>
      <c r="I24" s="57" t="s">
        <v>353</v>
      </c>
      <c r="J24" s="57" t="s">
        <v>353</v>
      </c>
    </row>
    <row r="25" customFormat="false" ht="15" hidden="false" customHeight="false" outlineLevel="0" collapsed="false">
      <c r="A25" s="5" t="s">
        <v>360</v>
      </c>
      <c r="B25" s="5" t="s">
        <v>361</v>
      </c>
      <c r="C25" s="22" t="n">
        <v>2.4999939084507</v>
      </c>
      <c r="D25" s="55" t="n">
        <v>0.0679898281832401</v>
      </c>
      <c r="E25" s="24" t="n">
        <v>2.0894019505828</v>
      </c>
      <c r="F25" s="24" t="n">
        <v>6.473</v>
      </c>
      <c r="G25" s="24" t="n">
        <v>2.89865003734743</v>
      </c>
      <c r="H25" s="56" t="n">
        <f aca="false">G25-F25</f>
        <v>-3.57434996265257</v>
      </c>
      <c r="I25" s="57" t="s">
        <v>353</v>
      </c>
      <c r="J25" s="57" t="s">
        <v>353</v>
      </c>
    </row>
    <row r="26" customFormat="false" ht="15" hidden="false" customHeight="false" outlineLevel="0" collapsed="false">
      <c r="A26" s="5" t="s">
        <v>362</v>
      </c>
      <c r="B26" s="5" t="s">
        <v>361</v>
      </c>
      <c r="C26" s="22" t="n">
        <v>5.00001573863636</v>
      </c>
      <c r="D26" s="55" t="n">
        <v>0.0934511292201811</v>
      </c>
      <c r="E26" s="24" t="n">
        <v>4.24459369804256</v>
      </c>
      <c r="F26" s="24" t="n">
        <v>15.8462</v>
      </c>
      <c r="G26" s="24" t="n">
        <v>9.25478037762063</v>
      </c>
      <c r="H26" s="56" t="n">
        <f aca="false">G26-F26</f>
        <v>-6.59141962237937</v>
      </c>
      <c r="I26" s="57" t="s">
        <v>353</v>
      </c>
      <c r="J26" s="57" t="s">
        <v>353</v>
      </c>
    </row>
    <row r="27" customFormat="false" ht="15" hidden="false" customHeight="false" outlineLevel="0" collapsed="false">
      <c r="A27" s="5" t="s">
        <v>363</v>
      </c>
      <c r="B27" s="5" t="s">
        <v>361</v>
      </c>
      <c r="C27" s="22" t="n">
        <v>2.49997468309859</v>
      </c>
      <c r="D27" s="55" t="n">
        <v>0.0704727288793828</v>
      </c>
      <c r="E27" s="24" t="n">
        <v>1.39750266513812</v>
      </c>
      <c r="F27" s="24" t="n">
        <v>5.8234</v>
      </c>
      <c r="G27" s="24" t="n">
        <v>3.34147334344955</v>
      </c>
      <c r="H27" s="56" t="n">
        <f aca="false">G27-F27</f>
        <v>-2.48192665655045</v>
      </c>
      <c r="I27" s="57" t="s">
        <v>353</v>
      </c>
      <c r="J27" s="57" t="s">
        <v>353</v>
      </c>
    </row>
    <row r="28" customFormat="false" ht="15" hidden="false" customHeight="false" outlineLevel="0" collapsed="false">
      <c r="A28" s="5" t="s">
        <v>364</v>
      </c>
      <c r="B28" s="5" t="s">
        <v>361</v>
      </c>
      <c r="C28" s="22" t="n">
        <v>5.00003897727273</v>
      </c>
      <c r="D28" s="55" t="n">
        <v>0.0976914488142504</v>
      </c>
      <c r="E28" s="24" t="n">
        <v>3.0896831144881</v>
      </c>
      <c r="F28" s="24" t="n">
        <v>14.6949</v>
      </c>
      <c r="G28" s="24" t="n">
        <v>9.76342624689893</v>
      </c>
      <c r="H28" s="56" t="n">
        <f aca="false">G28-F28</f>
        <v>-4.93147375310107</v>
      </c>
      <c r="I28" s="57" t="s">
        <v>353</v>
      </c>
      <c r="J28" s="57" t="s">
        <v>353</v>
      </c>
    </row>
    <row r="29" customFormat="false" ht="15" hidden="false" customHeight="false" outlineLevel="0" collapsed="false">
      <c r="A29" s="5" t="s">
        <v>365</v>
      </c>
      <c r="B29" s="5" t="s">
        <v>361</v>
      </c>
      <c r="C29" s="22" t="n">
        <v>2.49998323943662</v>
      </c>
      <c r="D29" s="55" t="n">
        <v>0.0707348376443114</v>
      </c>
      <c r="E29" s="24" t="n">
        <v>2.33571411735071</v>
      </c>
      <c r="F29" s="24" t="n">
        <v>7.5322</v>
      </c>
      <c r="G29" s="24" t="n">
        <v>3.32084254288629</v>
      </c>
      <c r="H29" s="56" t="n">
        <f aca="false">G29-F29</f>
        <v>-4.21135745711371</v>
      </c>
      <c r="I29" s="57" t="s">
        <v>353</v>
      </c>
      <c r="J29" s="57" t="s">
        <v>353</v>
      </c>
    </row>
    <row r="30" customFormat="false" ht="15" hidden="false" customHeight="false" outlineLevel="0" collapsed="false">
      <c r="A30" s="5" t="s">
        <v>366</v>
      </c>
      <c r="B30" s="5" t="s">
        <v>361</v>
      </c>
      <c r="C30" s="22" t="n">
        <v>5.00003983050848</v>
      </c>
      <c r="D30" s="55" t="n">
        <v>0.0987113654453513</v>
      </c>
      <c r="E30" s="24" t="n">
        <v>5.42597861068479</v>
      </c>
      <c r="F30" s="24" t="n">
        <v>18.1722</v>
      </c>
      <c r="G30" s="24" t="n">
        <v>9.64994419208216</v>
      </c>
      <c r="H30" s="56" t="n">
        <f aca="false">G30-F30</f>
        <v>-8.52225580791784</v>
      </c>
      <c r="I30" s="57" t="s">
        <v>353</v>
      </c>
      <c r="J30" s="57" t="s">
        <v>353</v>
      </c>
    </row>
    <row r="31" customFormat="false" ht="15" hidden="false" customHeight="false" outlineLevel="0" collapsed="false">
      <c r="A31" s="12" t="s">
        <v>367</v>
      </c>
      <c r="I31" s="33" t="n">
        <f aca="false">COUNTIFS(I19:I30,"Yes",J19:J30,"Yes")</f>
        <v>0</v>
      </c>
      <c r="J31" s="33" t="n">
        <f aca="false">ROWS(I19:I30)</f>
        <v>12</v>
      </c>
    </row>
    <row r="32" customFormat="false" ht="42" hidden="false" customHeight="true" outlineLevel="0" collapsed="false">
      <c r="A32" s="13" t="s">
        <v>368</v>
      </c>
      <c r="B32" s="13"/>
      <c r="C32" s="13"/>
      <c r="D32" s="13"/>
      <c r="E32" s="13"/>
      <c r="F32" s="13"/>
      <c r="G32" s="13"/>
      <c r="H32" s="13"/>
      <c r="I32" s="13"/>
      <c r="J32" s="13"/>
    </row>
    <row r="34" customFormat="false" ht="15" hidden="false" customHeight="false" outlineLevel="0" collapsed="false">
      <c r="A34" s="3" t="s">
        <v>369</v>
      </c>
    </row>
    <row r="35" customFormat="false" ht="15" hidden="false" customHeight="true" outlineLevel="0" collapsed="false">
      <c r="A35" s="4" t="s">
        <v>311</v>
      </c>
      <c r="B35" s="4" t="s">
        <v>169</v>
      </c>
      <c r="C35" s="54" t="s">
        <v>370</v>
      </c>
      <c r="D35" s="54"/>
      <c r="E35" s="54"/>
      <c r="F35" s="54"/>
      <c r="G35" s="54" t="s">
        <v>264</v>
      </c>
      <c r="H35" s="54"/>
      <c r="I35" s="54"/>
      <c r="J35" s="54"/>
    </row>
    <row r="36" customFormat="false" ht="15" hidden="false" customHeight="true" outlineLevel="0" collapsed="false">
      <c r="A36" s="5" t="s">
        <v>371</v>
      </c>
      <c r="B36" s="5" t="s">
        <v>372</v>
      </c>
      <c r="C36" s="13" t="s">
        <v>373</v>
      </c>
      <c r="D36" s="13"/>
      <c r="E36" s="13"/>
      <c r="F36" s="13"/>
      <c r="G36" s="13" t="s">
        <v>374</v>
      </c>
      <c r="H36" s="13"/>
      <c r="I36" s="13"/>
      <c r="J36" s="13"/>
    </row>
    <row r="37" customFormat="false" ht="15" hidden="false" customHeight="true" outlineLevel="0" collapsed="false">
      <c r="A37" s="5" t="s">
        <v>375</v>
      </c>
      <c r="B37" s="5" t="s">
        <v>376</v>
      </c>
      <c r="C37" s="13" t="s">
        <v>373</v>
      </c>
      <c r="D37" s="13"/>
      <c r="E37" s="13"/>
      <c r="F37" s="13"/>
      <c r="G37" s="13" t="s">
        <v>374</v>
      </c>
      <c r="H37" s="13"/>
      <c r="I37" s="13"/>
      <c r="J37" s="13"/>
    </row>
    <row r="38" customFormat="false" ht="15" hidden="false" customHeight="true" outlineLevel="0" collapsed="false">
      <c r="A38" s="5" t="s">
        <v>377</v>
      </c>
      <c r="B38" s="5" t="s">
        <v>378</v>
      </c>
      <c r="C38" s="13" t="s">
        <v>379</v>
      </c>
      <c r="D38" s="13"/>
      <c r="E38" s="13"/>
      <c r="F38" s="13"/>
      <c r="G38" s="13" t="s">
        <v>380</v>
      </c>
      <c r="H38" s="13"/>
      <c r="I38" s="13"/>
      <c r="J38" s="13"/>
    </row>
    <row r="39" customFormat="false" ht="15" hidden="false" customHeight="true" outlineLevel="0" collapsed="false">
      <c r="A39" s="5" t="s">
        <v>381</v>
      </c>
      <c r="B39" s="5" t="s">
        <v>382</v>
      </c>
      <c r="C39" s="13" t="s">
        <v>379</v>
      </c>
      <c r="D39" s="13"/>
      <c r="E39" s="13"/>
      <c r="F39" s="13"/>
      <c r="G39" s="13" t="s">
        <v>380</v>
      </c>
      <c r="H39" s="13"/>
      <c r="I39" s="13"/>
      <c r="J39" s="13"/>
    </row>
    <row r="40" customFormat="false" ht="15" hidden="false" customHeight="true" outlineLevel="0" collapsed="false">
      <c r="A40" s="5" t="s">
        <v>383</v>
      </c>
      <c r="B40" s="5" t="s">
        <v>384</v>
      </c>
      <c r="C40" s="13" t="s">
        <v>385</v>
      </c>
      <c r="D40" s="13"/>
      <c r="E40" s="13"/>
      <c r="F40" s="13"/>
      <c r="G40" s="13" t="s">
        <v>386</v>
      </c>
      <c r="H40" s="13"/>
      <c r="I40" s="13"/>
      <c r="J40" s="13"/>
    </row>
    <row r="41" customFormat="false" ht="15" hidden="false" customHeight="true" outlineLevel="0" collapsed="false">
      <c r="A41" s="5" t="s">
        <v>387</v>
      </c>
      <c r="B41" s="5" t="s">
        <v>388</v>
      </c>
      <c r="C41" s="13" t="s">
        <v>389</v>
      </c>
      <c r="D41" s="13"/>
      <c r="E41" s="13"/>
      <c r="F41" s="13"/>
      <c r="G41" s="13" t="s">
        <v>374</v>
      </c>
      <c r="H41" s="13"/>
      <c r="I41" s="13"/>
      <c r="J41" s="13"/>
    </row>
    <row r="42" customFormat="false" ht="15" hidden="false" customHeight="true" outlineLevel="0" collapsed="false">
      <c r="A42" s="5" t="s">
        <v>390</v>
      </c>
      <c r="B42" s="5" t="s">
        <v>391</v>
      </c>
      <c r="C42" s="13" t="s">
        <v>392</v>
      </c>
      <c r="D42" s="13"/>
      <c r="E42" s="13"/>
      <c r="F42" s="13"/>
      <c r="G42" s="13" t="s">
        <v>374</v>
      </c>
      <c r="H42" s="13"/>
      <c r="I42" s="13"/>
      <c r="J42" s="13"/>
    </row>
    <row r="43" customFormat="false" ht="15" hidden="false" customHeight="true" outlineLevel="0" collapsed="false">
      <c r="A43" s="5" t="s">
        <v>393</v>
      </c>
      <c r="B43" s="5" t="s">
        <v>394</v>
      </c>
      <c r="C43" s="13" t="s">
        <v>395</v>
      </c>
      <c r="D43" s="13"/>
      <c r="E43" s="13"/>
      <c r="F43" s="13"/>
      <c r="G43" s="13" t="s">
        <v>374</v>
      </c>
      <c r="H43" s="13"/>
      <c r="I43" s="13"/>
      <c r="J43" s="13"/>
    </row>
    <row r="44" customFormat="false" ht="15" hidden="false" customHeight="true" outlineLevel="0" collapsed="false">
      <c r="A44" s="5" t="s">
        <v>396</v>
      </c>
      <c r="B44" s="5" t="s">
        <v>397</v>
      </c>
      <c r="C44" s="13" t="s">
        <v>398</v>
      </c>
      <c r="D44" s="13"/>
      <c r="E44" s="13"/>
      <c r="F44" s="13"/>
      <c r="G44" s="13" t="s">
        <v>374</v>
      </c>
      <c r="H44" s="13"/>
      <c r="I44" s="13"/>
      <c r="J44" s="13"/>
    </row>
    <row r="46" customFormat="false" ht="15" hidden="false" customHeight="false" outlineLevel="0" collapsed="false">
      <c r="A46" s="3" t="s">
        <v>399</v>
      </c>
    </row>
    <row r="47" customFormat="false" ht="23.85" hidden="false" customHeight="false" outlineLevel="0" collapsed="false">
      <c r="A47" s="4" t="s">
        <v>400</v>
      </c>
      <c r="B47" s="4" t="s">
        <v>401</v>
      </c>
      <c r="C47" s="4" t="s">
        <v>402</v>
      </c>
      <c r="D47" s="4" t="s">
        <v>403</v>
      </c>
      <c r="E47" s="4" t="s">
        <v>402</v>
      </c>
    </row>
    <row r="48" customFormat="false" ht="15" hidden="false" customHeight="false" outlineLevel="0" collapsed="false">
      <c r="A48" s="5" t="s">
        <v>404</v>
      </c>
      <c r="B48" s="22" t="n">
        <v>33.6132097525627</v>
      </c>
      <c r="C48" s="22" t="n">
        <v>34.3958205576648</v>
      </c>
      <c r="D48" s="22" t="n">
        <v>15.9256485696014</v>
      </c>
      <c r="E48" s="22" t="n">
        <v>17.191661719765</v>
      </c>
    </row>
    <row r="49" customFormat="false" ht="15" hidden="false" customHeight="false" outlineLevel="0" collapsed="false">
      <c r="A49" s="5" t="s">
        <v>405</v>
      </c>
      <c r="B49" s="22" t="n">
        <v>26.8654951172848</v>
      </c>
      <c r="C49" s="22" t="n">
        <v>26.0017289873665</v>
      </c>
      <c r="D49" s="22" t="n">
        <v>21.5258540457023</v>
      </c>
      <c r="E49" s="22" t="n">
        <v>24.5247149754872</v>
      </c>
    </row>
    <row r="50" customFormat="false" ht="15" hidden="false" customHeight="false" outlineLevel="0" collapsed="false">
      <c r="A50" s="5" t="s">
        <v>406</v>
      </c>
      <c r="B50" s="22" t="n">
        <v>20.7690535911191</v>
      </c>
      <c r="C50" s="22" t="n">
        <v>20.9223396076853</v>
      </c>
      <c r="D50" s="22" t="n">
        <v>29.186022743742</v>
      </c>
      <c r="E50" s="22" t="n">
        <v>28.6316636132406</v>
      </c>
    </row>
    <row r="51" customFormat="false" ht="15" hidden="false" customHeight="false" outlineLevel="0" collapsed="false">
      <c r="A51" s="5" t="s">
        <v>407</v>
      </c>
      <c r="B51" s="22" t="n">
        <v>18.7522415390335</v>
      </c>
      <c r="C51" s="22" t="n">
        <v>18.6801108472835</v>
      </c>
      <c r="D51" s="22" t="n">
        <v>33.3624746409543</v>
      </c>
      <c r="E51" s="22" t="n">
        <v>29.6519596915071</v>
      </c>
    </row>
    <row r="52" customFormat="false" ht="55.5" hidden="false" customHeight="true" outlineLevel="0" collapsed="false">
      <c r="A52" s="13" t="s">
        <v>408</v>
      </c>
      <c r="B52" s="13"/>
      <c r="C52" s="13"/>
      <c r="D52" s="13"/>
      <c r="E52" s="13"/>
      <c r="F52" s="13"/>
      <c r="G52" s="13"/>
      <c r="H52" s="13"/>
      <c r="I52" s="13"/>
      <c r="J52" s="13"/>
    </row>
    <row r="54" customFormat="false" ht="15" hidden="false" customHeight="false" outlineLevel="0" collapsed="false">
      <c r="A54" s="3" t="s">
        <v>409</v>
      </c>
    </row>
    <row r="55" customFormat="false" ht="23.85" hidden="false" customHeight="false" outlineLevel="0" collapsed="false">
      <c r="A55" s="4" t="s">
        <v>410</v>
      </c>
      <c r="B55" s="4" t="s">
        <v>411</v>
      </c>
      <c r="C55" s="4" t="s">
        <v>412</v>
      </c>
      <c r="D55" s="4" t="s">
        <v>413</v>
      </c>
    </row>
    <row r="56" customFormat="false" ht="15" hidden="false" customHeight="false" outlineLevel="0" collapsed="false">
      <c r="A56" s="5" t="s">
        <v>414</v>
      </c>
      <c r="B56" s="24" t="n">
        <v>2.64748981533051</v>
      </c>
      <c r="C56" s="24" t="n">
        <v>6.38844530102795</v>
      </c>
      <c r="D56" s="24" t="n">
        <f aca="false">B56/C56</f>
        <v>0.41441848377484</v>
      </c>
    </row>
    <row r="57" customFormat="false" ht="15" hidden="false" customHeight="false" outlineLevel="0" collapsed="false">
      <c r="A57" s="5" t="s">
        <v>415</v>
      </c>
      <c r="B57" s="24" t="n">
        <v>0.81419330650505</v>
      </c>
      <c r="C57" s="24" t="n">
        <v>3.00995090658157</v>
      </c>
      <c r="D57" s="24" t="n">
        <f aca="false">B57/C57</f>
        <v>0.270500527010169</v>
      </c>
    </row>
    <row r="58" customFormat="false" ht="15" hidden="false" customHeight="false" outlineLevel="0" collapsed="false">
      <c r="A58" s="5" t="s">
        <v>416</v>
      </c>
      <c r="B58" s="24" t="n">
        <v>1.2509</v>
      </c>
      <c r="C58" s="24" t="n">
        <v>1.1029599243161</v>
      </c>
      <c r="D58" s="24" t="n">
        <f aca="false">B58/C58</f>
        <v>1.1341300553378</v>
      </c>
    </row>
    <row r="59" customFormat="false" ht="15" hidden="false" customHeight="false" outlineLevel="0" collapsed="false">
      <c r="A59" s="5" t="s">
        <v>417</v>
      </c>
      <c r="B59" s="24" t="n">
        <v>5.5452</v>
      </c>
      <c r="C59" s="24" t="n">
        <v>5.47839169073092</v>
      </c>
      <c r="D59" s="24" t="n">
        <f aca="false">B59/C59</f>
        <v>1.01219487635068</v>
      </c>
    </row>
    <row r="60" customFormat="false" ht="15" hidden="false" customHeight="false" outlineLevel="0" collapsed="false">
      <c r="A60" s="5" t="s">
        <v>418</v>
      </c>
      <c r="B60" s="24" t="n">
        <v>1.1657</v>
      </c>
      <c r="C60" s="24" t="n">
        <v>1.45781561498416</v>
      </c>
      <c r="D60" s="24" t="n">
        <f aca="false">B60/C60</f>
        <v>0.799621013808849</v>
      </c>
    </row>
    <row r="61" customFormat="false" ht="15" hidden="false" customHeight="false" outlineLevel="0" collapsed="false">
      <c r="A61" s="5" t="s">
        <v>419</v>
      </c>
      <c r="B61" s="24" t="n">
        <v>5.1587</v>
      </c>
      <c r="C61" s="24" t="n">
        <v>5.89509655474887</v>
      </c>
      <c r="D61" s="24" t="n">
        <f aca="false">B61/C61</f>
        <v>0.875083207219794</v>
      </c>
    </row>
    <row r="62" customFormat="false" ht="15" hidden="false" customHeight="false" outlineLevel="0" collapsed="false">
      <c r="A62" s="5" t="s">
        <v>420</v>
      </c>
      <c r="B62" s="24" t="n">
        <v>1.3887</v>
      </c>
      <c r="C62" s="24" t="n">
        <v>1.44111857101676</v>
      </c>
      <c r="D62" s="24" t="n">
        <f aca="false">B62/C62</f>
        <v>0.96362646900055</v>
      </c>
    </row>
    <row r="63" customFormat="false" ht="15" hidden="false" customHeight="false" outlineLevel="0" collapsed="false">
      <c r="A63" s="5" t="s">
        <v>421</v>
      </c>
      <c r="B63" s="24" t="n">
        <v>6.0299</v>
      </c>
      <c r="C63" s="24" t="n">
        <v>5.80100176684177</v>
      </c>
      <c r="D63" s="24" t="n">
        <f aca="false">B63/C63</f>
        <v>1.03945839742139</v>
      </c>
    </row>
    <row r="64" customFormat="false" ht="15" hidden="false" customHeight="false" outlineLevel="0" collapsed="false">
      <c r="A64" s="12" t="s">
        <v>422</v>
      </c>
      <c r="D64" s="27" t="n">
        <f aca="false">MAX(D56:D63)</f>
        <v>1.1341300553378</v>
      </c>
    </row>
    <row r="65" customFormat="false" ht="15" hidden="false" customHeight="true" outlineLevel="0" collapsed="false">
      <c r="A65" s="13" t="s">
        <v>423</v>
      </c>
      <c r="B65" s="13"/>
      <c r="C65" s="13"/>
      <c r="D65" s="13"/>
      <c r="E65" s="13"/>
      <c r="F65" s="13"/>
      <c r="G65" s="13"/>
      <c r="H65" s="13"/>
      <c r="I65" s="13"/>
      <c r="J65" s="13"/>
    </row>
    <row r="67" customFormat="false" ht="15" hidden="false" customHeight="true" outlineLevel="0" collapsed="false">
      <c r="A67" s="13" t="s">
        <v>424</v>
      </c>
      <c r="B67" s="13"/>
      <c r="C67" s="13"/>
      <c r="D67" s="13"/>
      <c r="E67" s="13"/>
      <c r="F67" s="13"/>
      <c r="G67" s="13"/>
      <c r="H67" s="13"/>
      <c r="I67" s="13"/>
      <c r="J67" s="13"/>
    </row>
  </sheetData>
  <mergeCells count="35">
    <mergeCell ref="C5:J5"/>
    <mergeCell ref="C6:J6"/>
    <mergeCell ref="C7:J7"/>
    <mergeCell ref="C8:J8"/>
    <mergeCell ref="C9:J9"/>
    <mergeCell ref="C10:J10"/>
    <mergeCell ref="C11:J11"/>
    <mergeCell ref="C12:J12"/>
    <mergeCell ref="C13:J13"/>
    <mergeCell ref="C14:J14"/>
    <mergeCell ref="A17:J17"/>
    <mergeCell ref="A32:J32"/>
    <mergeCell ref="C35:F35"/>
    <mergeCell ref="G35:J35"/>
    <mergeCell ref="C36:F36"/>
    <mergeCell ref="G36:J36"/>
    <mergeCell ref="C37:F37"/>
    <mergeCell ref="G37:J37"/>
    <mergeCell ref="C38:F38"/>
    <mergeCell ref="G38:J38"/>
    <mergeCell ref="C39:F39"/>
    <mergeCell ref="G39:J39"/>
    <mergeCell ref="C40:F40"/>
    <mergeCell ref="G40:J40"/>
    <mergeCell ref="C41:F41"/>
    <mergeCell ref="G41:J41"/>
    <mergeCell ref="C42:F42"/>
    <mergeCell ref="G42:J42"/>
    <mergeCell ref="C43:F43"/>
    <mergeCell ref="G43:J43"/>
    <mergeCell ref="C44:F44"/>
    <mergeCell ref="G44:J44"/>
    <mergeCell ref="A52:J52"/>
    <mergeCell ref="A65:J65"/>
    <mergeCell ref="A67:J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86"/>
  </cols>
  <sheetData>
    <row r="1" customFormat="false" ht="18.55" hidden="false" customHeight="false" outlineLevel="0" collapsed="false">
      <c r="A1" s="1" t="s">
        <v>425</v>
      </c>
    </row>
    <row r="2" customFormat="false" ht="15" hidden="false" customHeight="false" outlineLevel="0" collapsed="false">
      <c r="A2" s="2" t="s">
        <v>426</v>
      </c>
    </row>
    <row r="4" customFormat="false" ht="15" hidden="false" customHeight="false" outlineLevel="0" collapsed="false">
      <c r="A4" s="3" t="s">
        <v>427</v>
      </c>
    </row>
    <row r="5" customFormat="false" ht="15" hidden="false" customHeight="true" outlineLevel="0" collapsed="false">
      <c r="A5" s="13" t="s">
        <v>428</v>
      </c>
      <c r="B5" s="13"/>
      <c r="C5" s="13"/>
    </row>
    <row r="6" customFormat="false" ht="15" hidden="false" customHeight="true" outlineLevel="0" collapsed="false">
      <c r="A6" s="13" t="s">
        <v>429</v>
      </c>
      <c r="B6" s="13"/>
      <c r="C6" s="13"/>
    </row>
    <row r="7" customFormat="false" ht="15" hidden="false" customHeight="true" outlineLevel="0" collapsed="false">
      <c r="A7" s="13" t="s">
        <v>430</v>
      </c>
      <c r="B7" s="13"/>
      <c r="C7" s="13"/>
    </row>
    <row r="8" customFormat="false" ht="15" hidden="false" customHeight="true" outlineLevel="0" collapsed="false">
      <c r="A8" s="13" t="s">
        <v>431</v>
      </c>
      <c r="B8" s="13"/>
      <c r="C8" s="13"/>
    </row>
    <row r="9" customFormat="false" ht="15" hidden="false" customHeight="true" outlineLevel="0" collapsed="false">
      <c r="A9" s="13" t="s">
        <v>432</v>
      </c>
      <c r="B9" s="13"/>
      <c r="C9" s="13"/>
    </row>
    <row r="10" customFormat="false" ht="15" hidden="false" customHeight="true" outlineLevel="0" collapsed="false">
      <c r="A10" s="13" t="s">
        <v>433</v>
      </c>
      <c r="B10" s="13"/>
      <c r="C10" s="13"/>
    </row>
    <row r="11" customFormat="false" ht="15" hidden="false" customHeight="true" outlineLevel="0" collapsed="false">
      <c r="A11" s="13" t="s">
        <v>434</v>
      </c>
      <c r="B11" s="13"/>
      <c r="C11" s="13"/>
    </row>
    <row r="12" customFormat="false" ht="15" hidden="false" customHeight="true" outlineLevel="0" collapsed="false">
      <c r="A12" s="13" t="s">
        <v>435</v>
      </c>
      <c r="B12" s="13"/>
      <c r="C12" s="13"/>
    </row>
    <row r="13" customFormat="false" ht="15" hidden="false" customHeight="true" outlineLevel="0" collapsed="false">
      <c r="A13" s="13" t="s">
        <v>436</v>
      </c>
      <c r="B13" s="13"/>
      <c r="C13" s="13"/>
    </row>
    <row r="14" customFormat="false" ht="15" hidden="false" customHeight="true" outlineLevel="0" collapsed="false">
      <c r="A14" s="13" t="s">
        <v>437</v>
      </c>
      <c r="B14" s="13"/>
      <c r="C14" s="13"/>
    </row>
    <row r="15" customFormat="false" ht="15" hidden="false" customHeight="true" outlineLevel="0" collapsed="false">
      <c r="A15" s="13" t="s">
        <v>438</v>
      </c>
      <c r="B15" s="13"/>
      <c r="C15" s="13"/>
    </row>
    <row r="17" customFormat="false" ht="15" hidden="false" customHeight="false" outlineLevel="0" collapsed="false">
      <c r="A17" s="3" t="s">
        <v>439</v>
      </c>
    </row>
    <row r="18" customFormat="false" ht="15" hidden="false" customHeight="true" outlineLevel="0" collapsed="false">
      <c r="A18" s="13" t="s">
        <v>440</v>
      </c>
      <c r="B18" s="13"/>
      <c r="C18" s="13"/>
    </row>
    <row r="19" customFormat="false" ht="15" hidden="false" customHeight="true" outlineLevel="0" collapsed="false">
      <c r="A19" s="13" t="s">
        <v>441</v>
      </c>
      <c r="B19" s="13"/>
      <c r="C19" s="13"/>
    </row>
    <row r="20" customFormat="false" ht="15" hidden="false" customHeight="true" outlineLevel="0" collapsed="false">
      <c r="A20" s="13" t="s">
        <v>442</v>
      </c>
      <c r="B20" s="13"/>
      <c r="C20" s="13"/>
    </row>
    <row r="21" customFormat="false" ht="15" hidden="false" customHeight="true" outlineLevel="0" collapsed="false">
      <c r="A21" s="13" t="s">
        <v>443</v>
      </c>
      <c r="B21" s="13"/>
      <c r="C21" s="13"/>
    </row>
    <row r="22" customFormat="false" ht="15" hidden="false" customHeight="true" outlineLevel="0" collapsed="false">
      <c r="A22" s="13" t="s">
        <v>444</v>
      </c>
      <c r="B22" s="13"/>
      <c r="C22" s="13"/>
    </row>
    <row r="23" customFormat="false" ht="15" hidden="false" customHeight="true" outlineLevel="0" collapsed="false">
      <c r="A23" s="13" t="s">
        <v>445</v>
      </c>
      <c r="B23" s="13"/>
      <c r="C23" s="13"/>
    </row>
    <row r="24" customFormat="false" ht="15" hidden="false" customHeight="true" outlineLevel="0" collapsed="false">
      <c r="A24" s="13" t="s">
        <v>446</v>
      </c>
      <c r="B24" s="13"/>
      <c r="C24" s="13"/>
    </row>
    <row r="26" customFormat="false" ht="15" hidden="false" customHeight="false" outlineLevel="0" collapsed="false">
      <c r="A26" s="3" t="s">
        <v>447</v>
      </c>
    </row>
    <row r="27" customFormat="false" ht="15" hidden="false" customHeight="false" outlineLevel="0" collapsed="false">
      <c r="A27" s="4" t="s">
        <v>3</v>
      </c>
      <c r="B27" s="4" t="s">
        <v>106</v>
      </c>
      <c r="C27" s="4" t="s">
        <v>448</v>
      </c>
    </row>
    <row r="28" customFormat="false" ht="23.85" hidden="false" customHeight="false" outlineLevel="0" collapsed="false">
      <c r="A28" s="5" t="s">
        <v>449</v>
      </c>
      <c r="B28" s="5" t="s">
        <v>111</v>
      </c>
      <c r="C28" s="5" t="s">
        <v>450</v>
      </c>
    </row>
    <row r="29" customFormat="false" ht="35.05" hidden="false" customHeight="false" outlineLevel="0" collapsed="false">
      <c r="A29" s="5" t="s">
        <v>451</v>
      </c>
      <c r="B29" s="5" t="s">
        <v>111</v>
      </c>
      <c r="C29" s="5" t="s">
        <v>452</v>
      </c>
    </row>
    <row r="30" customFormat="false" ht="35.05" hidden="false" customHeight="false" outlineLevel="0" collapsed="false">
      <c r="A30" s="5" t="s">
        <v>453</v>
      </c>
      <c r="B30" s="5" t="s">
        <v>111</v>
      </c>
      <c r="C30" s="5" t="s">
        <v>454</v>
      </c>
    </row>
    <row r="31" customFormat="false" ht="23.85" hidden="false" customHeight="false" outlineLevel="0" collapsed="false">
      <c r="A31" s="5" t="s">
        <v>455</v>
      </c>
      <c r="B31" s="5" t="s">
        <v>111</v>
      </c>
      <c r="C31" s="5" t="s">
        <v>456</v>
      </c>
    </row>
    <row r="32" customFormat="false" ht="23.85" hidden="false" customHeight="false" outlineLevel="0" collapsed="false">
      <c r="A32" s="5" t="s">
        <v>457</v>
      </c>
      <c r="B32" s="5" t="s">
        <v>111</v>
      </c>
      <c r="C32" s="5" t="s">
        <v>458</v>
      </c>
    </row>
    <row r="33" customFormat="false" ht="15" hidden="false" customHeight="false" outlineLevel="0" collapsed="false">
      <c r="A33" s="5" t="s">
        <v>110</v>
      </c>
      <c r="B33" s="5" t="s">
        <v>111</v>
      </c>
      <c r="C33" s="5" t="s">
        <v>459</v>
      </c>
    </row>
    <row r="34" customFormat="false" ht="23.85" hidden="false" customHeight="false" outlineLevel="0" collapsed="false">
      <c r="A34" s="5" t="s">
        <v>112</v>
      </c>
      <c r="B34" s="5" t="s">
        <v>111</v>
      </c>
      <c r="C34" s="5" t="s">
        <v>460</v>
      </c>
    </row>
    <row r="35" customFormat="false" ht="15" hidden="false" customHeight="false" outlineLevel="0" collapsed="false">
      <c r="A35" s="5" t="s">
        <v>113</v>
      </c>
      <c r="B35" s="5" t="s">
        <v>114</v>
      </c>
      <c r="C35" s="5" t="s">
        <v>461</v>
      </c>
    </row>
    <row r="36" customFormat="false" ht="15" hidden="false" customHeight="false" outlineLevel="0" collapsed="false">
      <c r="A36" s="5" t="s">
        <v>115</v>
      </c>
      <c r="B36" s="5" t="s">
        <v>114</v>
      </c>
      <c r="C36" s="5" t="s">
        <v>462</v>
      </c>
    </row>
    <row r="37" customFormat="false" ht="15" hidden="false" customHeight="false" outlineLevel="0" collapsed="false">
      <c r="A37" s="5" t="s">
        <v>116</v>
      </c>
      <c r="B37" s="5" t="s">
        <v>114</v>
      </c>
      <c r="C37" s="5" t="s">
        <v>461</v>
      </c>
    </row>
    <row r="38" customFormat="false" ht="15" hidden="false" customHeight="false" outlineLevel="0" collapsed="false">
      <c r="A38" s="5" t="s">
        <v>463</v>
      </c>
      <c r="B38" s="5" t="s">
        <v>111</v>
      </c>
      <c r="C38" s="5" t="s">
        <v>464</v>
      </c>
    </row>
    <row r="39" customFormat="false" ht="23.85" hidden="false" customHeight="false" outlineLevel="0" collapsed="false">
      <c r="A39" s="5" t="s">
        <v>465</v>
      </c>
      <c r="B39" s="5" t="s">
        <v>111</v>
      </c>
      <c r="C39" s="5" t="s">
        <v>466</v>
      </c>
    </row>
    <row r="40" customFormat="false" ht="46.25" hidden="false" customHeight="false" outlineLevel="0" collapsed="false">
      <c r="A40" s="5" t="s">
        <v>467</v>
      </c>
      <c r="B40" s="5" t="s">
        <v>111</v>
      </c>
      <c r="C40" s="5" t="s">
        <v>468</v>
      </c>
    </row>
    <row r="41" customFormat="false" ht="15" hidden="false" customHeight="false" outlineLevel="0" collapsed="false">
      <c r="A41" s="5" t="s">
        <v>216</v>
      </c>
      <c r="B41" s="5" t="s">
        <v>111</v>
      </c>
      <c r="C41" s="5" t="s">
        <v>469</v>
      </c>
    </row>
    <row r="42" customFormat="false" ht="15" hidden="false" customHeight="false" outlineLevel="0" collapsed="false">
      <c r="A42" s="5" t="s">
        <v>222</v>
      </c>
      <c r="B42" s="5" t="s">
        <v>111</v>
      </c>
      <c r="C42" s="5" t="s">
        <v>470</v>
      </c>
    </row>
    <row r="43" customFormat="false" ht="15" hidden="false" customHeight="false" outlineLevel="0" collapsed="false">
      <c r="A43" s="5" t="s">
        <v>228</v>
      </c>
      <c r="B43" s="5" t="s">
        <v>111</v>
      </c>
      <c r="C43" s="5" t="s">
        <v>471</v>
      </c>
    </row>
    <row r="44" customFormat="false" ht="15" hidden="false" customHeight="false" outlineLevel="0" collapsed="false">
      <c r="A44" s="5" t="s">
        <v>232</v>
      </c>
      <c r="B44" s="5" t="s">
        <v>111</v>
      </c>
      <c r="C44" s="5" t="s">
        <v>472</v>
      </c>
    </row>
    <row r="45" customFormat="false" ht="15" hidden="false" customHeight="false" outlineLevel="0" collapsed="false">
      <c r="A45" s="5" t="s">
        <v>236</v>
      </c>
      <c r="B45" s="5" t="s">
        <v>111</v>
      </c>
      <c r="C45" s="5" t="s">
        <v>473</v>
      </c>
    </row>
    <row r="46" customFormat="false" ht="15" hidden="false" customHeight="false" outlineLevel="0" collapsed="false">
      <c r="A46" s="5" t="s">
        <v>474</v>
      </c>
      <c r="B46" s="5" t="s">
        <v>111</v>
      </c>
      <c r="C46" s="5" t="s">
        <v>475</v>
      </c>
    </row>
    <row r="47" customFormat="false" ht="23.85" hidden="false" customHeight="false" outlineLevel="0" collapsed="false">
      <c r="A47" s="5" t="s">
        <v>476</v>
      </c>
      <c r="B47" s="5" t="s">
        <v>111</v>
      </c>
      <c r="C47" s="5" t="s">
        <v>477</v>
      </c>
    </row>
    <row r="48" customFormat="false" ht="15" hidden="false" customHeight="false" outlineLevel="0" collapsed="false">
      <c r="A48" s="5" t="s">
        <v>478</v>
      </c>
      <c r="B48" s="5" t="s">
        <v>111</v>
      </c>
      <c r="C48" s="5" t="s">
        <v>479</v>
      </c>
    </row>
    <row r="49" customFormat="false" ht="15" hidden="false" customHeight="false" outlineLevel="0" collapsed="false">
      <c r="A49" s="5" t="s">
        <v>480</v>
      </c>
      <c r="B49" s="5" t="s">
        <v>111</v>
      </c>
      <c r="C49" s="5" t="s">
        <v>481</v>
      </c>
    </row>
    <row r="50" customFormat="false" ht="23.85" hidden="false" customHeight="false" outlineLevel="0" collapsed="false">
      <c r="A50" s="5" t="s">
        <v>482</v>
      </c>
      <c r="B50" s="5" t="s">
        <v>111</v>
      </c>
      <c r="C50" s="5" t="s">
        <v>483</v>
      </c>
    </row>
    <row r="51" customFormat="false" ht="23.85" hidden="false" customHeight="false" outlineLevel="0" collapsed="false">
      <c r="A51" s="5" t="s">
        <v>484</v>
      </c>
      <c r="B51" s="5" t="s">
        <v>114</v>
      </c>
      <c r="C51" s="5" t="s">
        <v>188</v>
      </c>
    </row>
    <row r="52" customFormat="false" ht="15" hidden="false" customHeight="false" outlineLevel="0" collapsed="false">
      <c r="A52" s="5" t="s">
        <v>485</v>
      </c>
      <c r="B52" s="5" t="s">
        <v>111</v>
      </c>
      <c r="C52" s="5" t="s">
        <v>486</v>
      </c>
    </row>
    <row r="53" customFormat="false" ht="15" hidden="false" customHeight="false" outlineLevel="0" collapsed="false">
      <c r="A53" s="5" t="s">
        <v>487</v>
      </c>
      <c r="B53" s="5" t="s">
        <v>111</v>
      </c>
      <c r="C53" s="5" t="s">
        <v>488</v>
      </c>
    </row>
  </sheetData>
  <mergeCells count="18">
    <mergeCell ref="A5:C5"/>
    <mergeCell ref="A6:C6"/>
    <mergeCell ref="A7:C7"/>
    <mergeCell ref="A8:C8"/>
    <mergeCell ref="A9:C9"/>
    <mergeCell ref="A10:C10"/>
    <mergeCell ref="A11:C11"/>
    <mergeCell ref="A12:C12"/>
    <mergeCell ref="A13:C13"/>
    <mergeCell ref="A14:C14"/>
    <mergeCell ref="A15:C15"/>
    <mergeCell ref="A18:C18"/>
    <mergeCell ref="A19:C19"/>
    <mergeCell ref="A20:C20"/>
    <mergeCell ref="A21:C21"/>
    <mergeCell ref="A22:C22"/>
    <mergeCell ref="A23:C23"/>
    <mergeCell ref="A24: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2026-10-30T23:22:32Z</dcterms:created>
  <dc:creator>openpyxl</dc:creator>
  <dc:description/>
  <dc:language>en-US</dc:language>
  <cp:lastModifiedBy/>
  <dcterms:modified xsi:type="dcterms:W3CDTF">2026-10-30T23:22:32Z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